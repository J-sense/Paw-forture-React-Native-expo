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ction Tracker" sheetId="2" state="visible" r:id="rId4"/>
    <sheet name="Regression (Passed)" sheetId="3" state="visible" r:id="rId5"/>
    <sheet name="Return-for-QA Checklist" sheetId="4" state="visible" r:id="rId6"/>
    <sheet name="Legend &amp; Lists" sheetId="5" state="visible" r:id="rId7"/>
  </sheets>
  <definedNames>
    <definedName function="false" hidden="true" localSheetId="1" name="_xlnm._FilterDatabase" vbProcedure="false">'Action Tracker'!$A$4:$R$33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<sst xmlns="http://schemas.openxmlformats.org/spreadsheetml/2006/main" count="482" uniqueCount="248">
  <si>
    <t xml:space="preserve">AXUDAR GROUP™ – WEBSITE QA PROGRESS DASHBOARD</t>
  </si>
  <si>
    <t xml:space="preserve">Build: https://auxder.vercel.app/  •  Source: QA &amp; Developer Action List, 03 October 2026</t>
  </si>
  <si>
    <t xml:space="preserve">Total Items</t>
  </si>
  <si>
    <t xml:space="preserve">Dev Complete %</t>
  </si>
  <si>
    <t xml:space="preserve">QA Passed %</t>
  </si>
  <si>
    <t xml:space="preserve">Client Approved %</t>
  </si>
  <si>
    <t xml:space="preserve">Fully Closed %</t>
  </si>
  <si>
    <t xml:space="preserve">READY TO RETURN FOR QA?</t>
  </si>
  <si>
    <t xml:space="preserve">By Priority – Developer Status</t>
  </si>
  <si>
    <t xml:space="preserve">Priority</t>
  </si>
  <si>
    <t xml:space="preserve">Total</t>
  </si>
  <si>
    <t xml:space="preserve">Open</t>
  </si>
  <si>
    <t xml:space="preserve">In Progress</t>
  </si>
  <si>
    <t xml:space="preserve">Done – Ready for QA</t>
  </si>
  <si>
    <t xml:space="preserve">Blocked</t>
  </si>
  <si>
    <t xml:space="preserve">% Dev Done</t>
  </si>
  <si>
    <t xml:space="preserve">CRITICAL</t>
  </si>
  <si>
    <t xml:space="preserve">HIGH</t>
  </si>
  <si>
    <t xml:space="preserve">MEDIUM</t>
  </si>
  <si>
    <t xml:space="preserve">TOTAL</t>
  </si>
  <si>
    <t xml:space="preserve">Overall Status Breakdown</t>
  </si>
  <si>
    <t xml:space="preserve">QA &amp; Client Snapshot</t>
  </si>
  <si>
    <t xml:space="preserve">Status</t>
  </si>
  <si>
    <t xml:space="preserve">Items</t>
  </si>
  <si>
    <t xml:space="preserve">% of Total</t>
  </si>
  <si>
    <t xml:space="preserve">Measure</t>
  </si>
  <si>
    <t xml:space="preserve">OPEN</t>
  </si>
  <si>
    <t xml:space="preserve">QA Not Tested</t>
  </si>
  <si>
    <t xml:space="preserve">IN PROGRESS</t>
  </si>
  <si>
    <t xml:space="preserve">QA Pass</t>
  </si>
  <si>
    <t xml:space="preserve">AWAITING QA</t>
  </si>
  <si>
    <t xml:space="preserve">QA Fail – Reopen</t>
  </si>
  <si>
    <t xml:space="preserve">REOPENED</t>
  </si>
  <si>
    <t xml:space="preserve">QA Retest Needed</t>
  </si>
  <si>
    <t xml:space="preserve">AWAITING CLIENT</t>
  </si>
  <si>
    <t xml:space="preserve">Client Pending</t>
  </si>
  <si>
    <t xml:space="preserve">BLOCKED</t>
  </si>
  <si>
    <t xml:space="preserve">Client Approved</t>
  </si>
  <si>
    <t xml:space="preserve">CLOSED</t>
  </si>
  <si>
    <t xml:space="preserve">Client Changes Req.</t>
  </si>
  <si>
    <t xml:space="preserve">Regression (passed items) still passing:</t>
  </si>
  <si>
    <t xml:space="preserve">Return-for-QA checklist complete:</t>
  </si>
  <si>
    <t xml:space="preserve">AXUDAR GROUP™ – Website QA Action Tracker (build: https://auxder.vercel.app/ • list dated 03 Oct 2026)</t>
  </si>
  <si>
    <t xml:space="preserve">Edit the shaded input columns (G–I, J–L, M–O, P–Q). Column R is automatic.</t>
  </si>
  <si>
    <t xml:space="preserve">ID</t>
  </si>
  <si>
    <t xml:space="preserve">Area</t>
  </si>
  <si>
    <t xml:space="preserve">Issue</t>
  </si>
  <si>
    <t xml:space="preserve">Current Problem</t>
  </si>
  <si>
    <t xml:space="preserve">Required Fix</t>
  </si>
  <si>
    <t xml:space="preserve">Tested Desktop?</t>
  </si>
  <si>
    <t xml:space="preserve">Tested Mobile?</t>
  </si>
  <si>
    <t xml:space="preserve">Developer</t>
  </si>
  <si>
    <t xml:space="preserve">Dev Status</t>
  </si>
  <si>
    <t xml:space="preserve">Dev Date Completed</t>
  </si>
  <si>
    <t xml:space="preserve">Dev Notes / Test Evidence (URL/screenshot)</t>
  </si>
  <si>
    <t xml:space="preserve">QA Status</t>
  </si>
  <si>
    <t xml:space="preserve">QA Date</t>
  </si>
  <si>
    <t xml:space="preserve">QA Feedback</t>
  </si>
  <si>
    <t xml:space="preserve">Client Review</t>
  </si>
  <si>
    <t xml:space="preserve">Client Comments</t>
  </si>
  <si>
    <t xml:space="preserve">Overall Status</t>
  </si>
  <si>
    <t xml:space="preserve">C1</t>
  </si>
  <si>
    <t xml:space="preserve">Enquiry flow</t>
  </si>
  <si>
    <t xml:space="preserve">SEO enquiry carries the wrong package</t>
  </si>
  <si>
    <t xml:space="preserve">Selecting SEO &amp; AI Visibility at FROM £649 + VAT opens an enquiry showing Social Media Growth £399.</t>
  </si>
  <si>
    <t xml:space="preserve">SEO must carry SEO &amp; AI Visibility and £649 through every enquiry step. Test homepage → package → enquiry and SEO detail page → enquiry.</t>
  </si>
  <si>
    <t xml:space="preserve">No</t>
  </si>
  <si>
    <t xml:space="preserve">Not Tested</t>
  </si>
  <si>
    <t xml:space="preserve">Pending</t>
  </si>
  <si>
    <t xml:space="preserve">C2</t>
  </si>
  <si>
    <t xml:space="preserve">Navigation / CTA</t>
  </si>
  <si>
    <t xml:space="preserve">Main “BUILD YOUR GROWTH CANVAS” CTA is wrong</t>
  </si>
  <si>
    <t xml:space="preserve">The header CTA routes to Contact instead of starting/opening the Growth Canvas.</t>
  </si>
  <si>
    <t xml:space="preserve">Route this CTA directly to the Growth Canvas journey. It must not behave like Contact.</t>
  </si>
  <si>
    <t xml:space="preserve">C3</t>
  </si>
  <si>
    <t xml:space="preserve">Content</t>
  </si>
  <si>
    <t xml:space="preserve">Service pages contain copied Business Growth content</t>
  </si>
  <si>
    <t xml:space="preserve">Strategy, Marketing, SEO, Social Media and Website &amp; Conversion are still using Business Growth copy/deliverables.</t>
  </si>
  <si>
    <t xml:space="preserve">Replace each page with its own approved service-specific hero copy, outcomes, deliverables and CTAs. No duplicated Business Growth content.</t>
  </si>
  <si>
    <t xml:space="preserve">C4</t>
  </si>
  <si>
    <t xml:space="preserve">Site architecture</t>
  </si>
  <si>
    <t xml:space="preserve">Core journeys are not separate as requested</t>
  </si>
  <si>
    <t xml:space="preserve">Ecosystem, Growth Canvas and How It Works still resolve into / depend on homepage sections instead of clear standalone journeys.</t>
  </si>
  <si>
    <t xml:space="preserve">Create the agreed distinct routes/pages and ensure top navigation opens the correct page/route for each.</t>
  </si>
  <si>
    <t xml:space="preserve">C5</t>
  </si>
  <si>
    <t xml:space="preserve">Canvas → enquiry handoff is not fully reliable/clear</t>
  </si>
  <si>
    <t xml:space="preserve">The Canvas can hold selections, but the journey into enquiry is not clearly carrying and displaying all chosen areas/outcomes.</t>
  </si>
  <si>
    <t xml:space="preserve">When “Discuss My Canvas” is used, show the selected Canvas areas/outcomes clearly on the enquiry screen and include them in the submitted enquiry.</t>
  </si>
  <si>
    <t xml:space="preserve">H1</t>
  </si>
  <si>
    <t xml:space="preserve">Contact form</t>
  </si>
  <si>
    <t xml:space="preserve">Contact form categories do not match the six Growth Areas</t>
  </si>
  <si>
    <t xml:space="preserve">Contact uses Strategy &amp; Planning / Commercial Growth / SEO &amp; AI Visibility / Social &amp; Content / Website &amp; Conversion / Campaigns &amp; Leads.</t>
  </si>
  <si>
    <t xml:space="preserve">Use exactly: Business Growth; Strategy; Marketing; SEO &amp; AI Visibility; Social Media; Website &amp; Conversion.</t>
  </si>
  <si>
    <t xml:space="preserve">H2</t>
  </si>
  <si>
    <t xml:space="preserve">Terminology</t>
  </si>
  <si>
    <t xml:space="preserve">“Strategy &amp; Planning” still appears</t>
  </si>
  <si>
    <t xml:space="preserve">Legacy wording remains across pages, Canvas and footer.</t>
  </si>
  <si>
    <t xml:space="preserve">Replace all customer-facing “Strategy &amp; Planning” references with “Strategy”.</t>
  </si>
  <si>
    <t xml:space="preserve">H3</t>
  </si>
  <si>
    <t xml:space="preserve">“Connected Growth Solutions” wording is wrong</t>
  </si>
  <si>
    <t xml:space="preserve">Homepage still uses “6 Connected Growth Solutions”.</t>
  </si>
  <si>
    <t xml:space="preserve">Change to “6 Connected Growth Areas”.</t>
  </si>
  <si>
    <t xml:space="preserve">H4</t>
  </si>
  <si>
    <t xml:space="preserve">Growth Engine wording remains</t>
  </si>
  <si>
    <t xml:space="preserve">Legacy “Growth Engine” wording is still visible.</t>
  </si>
  <si>
    <t xml:space="preserve">Remove legacy Growth Engine wording and use the new Growth Ecosystem / Growth Canvas terminology only.</t>
  </si>
  <si>
    <t xml:space="preserve">H5</t>
  </si>
  <si>
    <t xml:space="preserve">12-month wording remains</t>
  </si>
  <si>
    <t xml:space="preserve">“12 Month Partnership Model” and 12-month minimum wording are still visible.</t>
  </si>
  <si>
    <t xml:space="preserve">Remove the legacy 12-month partnership/minimum wording where previously requested.</t>
  </si>
  <si>
    <t xml:space="preserve">H6</t>
  </si>
  <si>
    <t xml:space="preserve">SEO package detail page is incomplete/wrong</t>
  </si>
  <si>
    <t xml:space="preserve">The SEO detail page contains Business Growth/sales/pricing copy instead of full SEO content.</t>
  </si>
  <si>
    <t xml:space="preserve">Build the SEO page with the approved SEO &amp; AI Visibility package content, deliverables and FROM £649 + VAT pricing.</t>
  </si>
  <si>
    <t xml:space="preserve">H7</t>
  </si>
  <si>
    <t xml:space="preserve">“Ask a question” loses package context</t>
  </si>
  <si>
    <t xml:space="preserve">A package can be passed in the URL but the visible form does not clearly show the customer what package they are asking about.</t>
  </si>
  <si>
    <t xml:space="preserve">Display the selected package name clearly on the form and include it in the submitted enquiry.</t>
  </si>
  <si>
    <t xml:space="preserve">H8</t>
  </si>
  <si>
    <t xml:space="preserve">Enquiry CTA wording is still old</t>
  </si>
  <si>
    <t xml:space="preserve">Contact still uses “PREPARE MY ENQUIRY”.</t>
  </si>
  <si>
    <t xml:space="preserve">Use “SEND MY ENQUIRY” and, for Canvas-led enquiries, “SEND MY GROWTH CANVAS”.</t>
  </si>
  <si>
    <t xml:space="preserve">H9</t>
  </si>
  <si>
    <t xml:space="preserve">Submission confirmation must be clear</t>
  </si>
  <si>
    <t xml:space="preserve">The final success state is not aligned to the requested messaging.</t>
  </si>
  <si>
    <t xml:space="preserve">After successful submission show a clear confirmation headed “WE’VE GOT YOUR ENQUIRY”.</t>
  </si>
  <si>
    <t xml:space="preserve">H10</t>
  </si>
  <si>
    <t xml:space="preserve">Canvas pages are too isolated</t>
  </si>
  <si>
    <t xml:space="preserve">/area/ pages do not present the normal site navigation/header clearly enough.</t>
  </si>
  <si>
    <t xml:space="preserve">Maintain standard site navigation/back route so users never feel trapped in the Canvas journey.</t>
  </si>
  <si>
    <t xml:space="preserve">H11</t>
  </si>
  <si>
    <t xml:space="preserve">Service-to-service navigation is missing</t>
  </si>
  <si>
    <t xml:space="preserve">The requested Previous / All / Next navigation is not clearly present on service pages.</t>
  </si>
  <si>
    <t xml:space="preserve">Add Previous / All Services / Next navigation consistently to all six service pages.</t>
  </si>
  <si>
    <t xml:space="preserve">H12</t>
  </si>
  <si>
    <t xml:space="preserve">Process terminology/numbering inconsistent</t>
  </si>
  <si>
    <t xml:space="preserve">Process still starts with Strategy &amp; Planning and numbering changes from 1,2,3 to 04.</t>
  </si>
  <si>
    <t xml:space="preserve">Use current terminology and one numbering format throughout.</t>
  </si>
  <si>
    <t xml:space="preserve">H13</t>
  </si>
  <si>
    <t xml:space="preserve">Duplicate testimonial content remains</t>
  </si>
  <si>
    <t xml:space="preserve">James Whitfield / Meridian Capital Group is repeated multiple times.</t>
  </si>
  <si>
    <t xml:space="preserve">Remove duplicate/placeholder testimonials. Use only approved real testimonial content.</t>
  </si>
  <si>
    <t xml:space="preserve">H14</t>
  </si>
  <si>
    <t xml:space="preserve">Unrelated fundraiser FAQ remains</t>
  </si>
  <si>
    <t xml:space="preserve">“How long does a fundraiser run?” is still visible.</t>
  </si>
  <si>
    <t xml:space="preserve">Remove the unrelated fundraiser FAQ completely.</t>
  </si>
  <si>
    <t xml:space="preserve">H15</t>
  </si>
  <si>
    <t xml:space="preserve">Footer / Legal</t>
  </si>
  <si>
    <t xml:space="preserve">Old US address remains</t>
  </si>
  <si>
    <t xml:space="preserve">10808 Foothill Blvd, Rancho Cucamonga, CA is still visible in the footer/site.</t>
  </si>
  <si>
    <t xml:space="preserve">Remove the US address and replace with the approved Axudar contact details only.</t>
  </si>
  <si>
    <t xml:space="preserve">H16</t>
  </si>
  <si>
    <t xml:space="preserve">Footer structure is wrong</t>
  </si>
  <si>
    <t xml:space="preserve">Contact details sit under a “LEADERSHIP” heading and old taxonomy remains.</t>
  </si>
  <si>
    <t xml:space="preserve">Rebuild footer labels so Contact details, navigation and six Growth Areas are correctly named and grouped.</t>
  </si>
  <si>
    <t xml:space="preserve">M1</t>
  </si>
  <si>
    <t xml:space="preserve">Results page structure differs from agreed format</t>
  </si>
  <si>
    <t xml:space="preserve">Page uses Problem → Growth Canvas Plan → What Axudar Did → Result.</t>
  </si>
  <si>
    <t xml:space="preserve">Use Challenge → Canvas → Delivery → Result, unless explicitly re-approved.</t>
  </si>
  <si>
    <t xml:space="preserve">M2</t>
  </si>
  <si>
    <t xml:space="preserve">Results messaging conflicts with disclaimer</t>
  </si>
  <si>
    <t xml:space="preserve">“Real businesses. Real outcomes.” appears alongside wording that names/data may be indicative.</t>
  </si>
  <si>
    <t xml:space="preserve">Make claims/disclaimer consistent and unambiguous.</t>
  </si>
  <si>
    <t xml:space="preserve">M3</t>
  </si>
  <si>
    <t xml:space="preserve">SEO / Meta</t>
  </si>
  <si>
    <t xml:space="preserve">Insight page titles are generic</t>
  </si>
  <si>
    <t xml:space="preserve">Individual Insights are using the generic Axudar page title.</t>
  </si>
  <si>
    <t xml:space="preserve">Give every Insight article its own SEO title and description.</t>
  </si>
  <si>
    <t xml:space="preserve">M4</t>
  </si>
  <si>
    <t xml:space="preserve">Service page SEO titles contain duplication</t>
  </si>
  <si>
    <t xml:space="preserve">Examples contain “Axudar Group | Axudar Group”.</t>
  </si>
  <si>
    <t xml:space="preserve">Use a single, unique page title per service. Remove duplicate brand text.</t>
  </si>
  <si>
    <t xml:space="preserve">M5</t>
  </si>
  <si>
    <t xml:space="preserve">Contact page SEO title is generic</t>
  </si>
  <si>
    <t xml:space="preserve">Contact uses the generic site title.</t>
  </si>
  <si>
    <t xml:space="preserve">Use a unique Contact page title/meta description.</t>
  </si>
  <si>
    <t xml:space="preserve">M6</t>
  </si>
  <si>
    <t xml:space="preserve">Legal/privacy destinations are not surfaced</t>
  </si>
  <si>
    <t xml:space="preserve">Privacy, Cookies and Terms are not clearly surfaced in the footer/contact flow.</t>
  </si>
  <si>
    <t xml:space="preserve">Add Privacy Policy, Cookie Policy and Terms links and a privacy acknowledgement around data submission as appropriate.</t>
  </si>
  <si>
    <t xml:space="preserve">M7</t>
  </si>
  <si>
    <t xml:space="preserve">SEO Dictionary cannot be found</t>
  </si>
  <si>
    <t xml:space="preserve">The previously requested SEO Dictionary/unique topic structure is not visible in the current public journey.</t>
  </si>
  <si>
    <t xml:space="preserve">Add/restore the approved SEO Dictionary content and ensure it is reachable from the intended location.</t>
  </si>
  <si>
    <t xml:space="preserve">M8</t>
  </si>
  <si>
    <t xml:space="preserve">Legacy route naming remains</t>
  </si>
  <si>
    <t xml:space="preserve">Package URLs still expose /readyMadePackageDetails/.</t>
  </si>
  <si>
    <t xml:space="preserve">Rename/redirect legacy “Ready Made” routes where feasible so the public architecture matches the new proposition.</t>
  </si>
  <si>
    <t xml:space="preserve">Passed / Improved Items – re-verify after fixes (do not regress)</t>
  </si>
  <si>
    <t xml:space="preserve">Item</t>
  </si>
  <si>
    <t xml:space="preserve">Status in 03 Oct QA</t>
  </si>
  <si>
    <t xml:space="preserve">Regression Result</t>
  </si>
  <si>
    <t xml:space="preserve">Checked By</t>
  </si>
  <si>
    <t xml:space="preserve">Date Checked</t>
  </si>
  <si>
    <t xml:space="preserve">Notes</t>
  </si>
  <si>
    <t xml:space="preserve">P1</t>
  </si>
  <si>
    <t xml:space="preserve">Six “Choose Where You Need Support” cards link to service areas</t>
  </si>
  <si>
    <t xml:space="preserve">PASS / IMPROVED</t>
  </si>
  <si>
    <t xml:space="preserve">Not Rechecked</t>
  </si>
  <si>
    <t xml:space="preserve">P2</t>
  </si>
  <si>
    <t xml:space="preserve">Six “+ Add to My Growth Canvas” links now pre-load Canvas areas</t>
  </si>
  <si>
    <t xml:space="preserve">P3</t>
  </si>
  <si>
    <t xml:space="preserve">Headline Social Media price shows FROM £399 + VAT</t>
  </si>
  <si>
    <t xml:space="preserve">PASS</t>
  </si>
  <si>
    <t xml:space="preserve">P4</t>
  </si>
  <si>
    <t xml:space="preserve">Headline SEO &amp; AI Visibility price shows FROM £649 + VAT</t>
  </si>
  <si>
    <t xml:space="preserve">P5</t>
  </si>
  <si>
    <t xml:space="preserve">Insights landing page and checked articles open</t>
  </si>
  <si>
    <t xml:space="preserve">P6</t>
  </si>
  <si>
    <t xml:space="preserve">Main phone number displays as 0330 133 5720</t>
  </si>
  <si>
    <t xml:space="preserve">Return-for-QA Checklist – complete every line before re-submitting</t>
  </si>
  <si>
    <t xml:space="preserve">#</t>
  </si>
  <si>
    <t xml:space="preserve">Checklist Item</t>
  </si>
  <si>
    <t xml:space="preserve">Completed By</t>
  </si>
  <si>
    <t xml:space="preserve">Date</t>
  </si>
  <si>
    <t xml:space="preserve">All C1–C5 critical items completed and tested.</t>
  </si>
  <si>
    <t xml:space="preserve">Not Started</t>
  </si>
  <si>
    <t xml:space="preserve">All H1–H16 high-priority items completed.</t>
  </si>
  <si>
    <t xml:space="preserve">Every top-navigation link checked on desktop and mobile.</t>
  </si>
  <si>
    <t xml:space="preserve">Every clickable service card/box checked on desktop and mobile.</t>
  </si>
  <si>
    <t xml:space="preserve">Every “Add to My Growth Canvas” action checked.</t>
  </si>
  <si>
    <t xml:space="preserve">Every package CTA checked through to the final enquiry screen.</t>
  </si>
  <si>
    <t xml:space="preserve">All form fields, validation, submit action and confirmation state tested.</t>
  </si>
  <si>
    <t xml:space="preserve">Correct package/service name and price retained throughout the journey.</t>
  </si>
  <si>
    <t xml:space="preserve">No old terminology remains: Strategy &amp; Planning / Growth Engine / Ready Made / 12 Month Partnership Model.</t>
  </si>
  <si>
    <t xml:space="preserve">No placeholder, duplicated or unrelated content remains.</t>
  </si>
  <si>
    <t xml:space="preserve">Footer, contact details and legal links checked on every template.</t>
  </si>
  <si>
    <t xml:space="preserve">Page titles/meta checked for homepage, six services, packages, Results, Insights articles and Contact.</t>
  </si>
  <si>
    <t xml:space="preserve">Final mobile check completed at common phone widths before resubmission.</t>
  </si>
  <si>
    <t xml:space="preserve">Checklist completion</t>
  </si>
  <si>
    <t xml:space="preserve">Developer Status</t>
  </si>
  <si>
    <t xml:space="preserve">Checklist Status</t>
  </si>
  <si>
    <t xml:space="preserve">Pass</t>
  </si>
  <si>
    <t xml:space="preserve">Approved</t>
  </si>
  <si>
    <t xml:space="preserve">Still Passing</t>
  </si>
  <si>
    <t xml:space="preserve">Fail – Reopen</t>
  </si>
  <si>
    <t xml:space="preserve">Changes Requested</t>
  </si>
  <si>
    <t xml:space="preserve">Complete</t>
  </si>
  <si>
    <t xml:space="preserve">Regressed</t>
  </si>
  <si>
    <t xml:space="preserve">Blocked / Cannot Complete</t>
  </si>
  <si>
    <t xml:space="preserve">Retest Needed</t>
  </si>
  <si>
    <t xml:space="preserve">N/A</t>
  </si>
  <si>
    <t xml:space="preserve">How to use</t>
  </si>
  <si>
    <t xml:space="preserve">• Developer sets Dev Status (and Date Completed) after testing on desktop AND mobile.</t>
  </si>
  <si>
    <t xml:space="preserve">• QA sets QA Status after independent retest. Fail – Reopen puts the item back to work.</t>
  </si>
  <si>
    <t xml:space="preserve">• Client sets Client Review once QA has passed. Yellow-bordered columns are the ones to edit.</t>
  </si>
  <si>
    <t xml:space="preserve">• An item is fully CLOSED only when Dev = Done, QA = Pass and Client = Approved.</t>
  </si>
  <si>
    <t xml:space="preserve">• Dashboard and Checklist totals recalculate automatically from the tracker.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</si>
</sst>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-mmm\-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2A44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C9A24B"/>
        <bgColor rgb="FFA6A6A6"/>
      </patternFill>
    </fill>
    <fill>
      <patternFill patternType="solid">
        <fgColor rgb="FF1F2A44"/>
        <bgColor rgb="FF1F3864"/>
      </patternFill>
    </fill>
    <fill>
      <patternFill patternType="solid">
        <fgColor rgb="FFF8CBAD"/>
        <bgColor rgb="FFF4B6B6"/>
      </patternFill>
    </fill>
    <fill>
      <patternFill patternType="solid">
        <fgColor rgb="FFFFE699"/>
        <bgColor rgb="FFF8CBAD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F4B6B6"/>
        <bgColor rgb="FFF8CBAD"/>
      </patternFill>
    </fill>
    <fill>
      <patternFill patternType="solid">
        <fgColor rgb="FFBDD7EE"/>
        <bgColor rgb="FFD9D9D9"/>
      </patternFill>
    </fill>
    <fill>
      <patternFill patternType="solid">
        <fgColor rgb="FFFF7C80"/>
        <bgColor rgb="FFC9A24B"/>
      </patternFill>
    </fill>
    <fill>
      <patternFill patternType="solid">
        <fgColor rgb="FFD9C3E8"/>
        <bgColor rgb="FFD9D9D9"/>
      </patternFill>
    </fill>
    <fill>
      <patternFill patternType="solid">
        <fgColor rgb="FFA6A6A6"/>
        <bgColor rgb="FFBFBFBF"/>
      </patternFill>
    </fill>
    <fill>
      <patternFill patternType="solid">
        <fgColor rgb="FF63BE7B"/>
        <bgColor rgb="FF339966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4B6B6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B6B6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63BE7B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F7C8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A6A6A6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3B1F5B"/>
      </font>
      <fill>
        <patternFill>
          <bgColor rgb="FFD9C3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8E1"/>
      <rgbColor rgb="FFDDEBF7"/>
      <rgbColor rgb="FF660066"/>
      <rgbColor rgb="FFFF7C80"/>
      <rgbColor rgb="FF0066CC"/>
      <rgbColor rgb="FFD9C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699"/>
      <rgbColor rgb="FFBDD7EE"/>
      <rgbColor rgb="FFF4B6B6"/>
      <rgbColor rgb="FFCC99FF"/>
      <rgbColor rgb="FFF8CBAD"/>
      <rgbColor rgb="FF3366FF"/>
      <rgbColor rgb="FF63BE7B"/>
      <rgbColor rgb="FF99CC00"/>
      <rgbColor rgb="FFFFCC00"/>
      <rgbColor rgb="FFC9A24B"/>
      <rgbColor rgb="FFFF6600"/>
      <rgbColor rgb="FF595959"/>
      <rgbColor rgb="FFA6A6A6"/>
      <rgbColor rgb="FF1F3864"/>
      <rgbColor rgb="FF339966"/>
      <rgbColor rgb="FF003300"/>
      <rgbColor rgb="FF1F2A44"/>
      <rgbColor rgb="FF993300"/>
      <rgbColor rgb="FF993366"/>
      <rgbColor rgb="FF3B1F5B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9" min="3" style="0" width="14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2.3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customFormat="false" ht="36" hidden="false" customHeight="true" outlineLevel="0" collapsed="false">
      <c r="B5" s="4" t="n">
        <f aca="false">COUNTA('Action Tracker'!$A$5:$A$33)</f>
        <v>29</v>
      </c>
      <c r="C5" s="5" t="n">
        <f aca="false">IFERROR(COUNTIF('Action Tracker'!$J$5:$J$33,"Done – Ready for QA")/B5,0)</f>
        <v>0</v>
      </c>
      <c r="D5" s="5" t="n">
        <f aca="false">IFERROR(COUNTIF('Action Tracker'!$M$5:$M$33,"Pass")/B5,0)</f>
        <v>0</v>
      </c>
      <c r="E5" s="5" t="n">
        <f aca="false">IFERROR(COUNTIF('Action Tracker'!$P$5:$P$33,"Approved")/B5,0)</f>
        <v>0</v>
      </c>
      <c r="F5" s="5" t="n">
        <f aca="false">IFERROR(COUNTIF('Action Tracker'!$R$5:$R$33,"CLOSED")/B5,0)</f>
        <v>0</v>
      </c>
    </row>
    <row r="7" customFormat="false" ht="15" hidden="false" customHeight="false" outlineLevel="0" collapsed="false">
      <c r="B7" s="6" t="s">
        <v>7</v>
      </c>
      <c r="C7" s="7" t="str">
        <f aca="false">IF(AND(COUNTIFS('Action Tracker'!$B$5:$B$33,"CRITICAL",'Action Tracker'!$J$5:$J$33,"&lt;&gt;Done – Ready for QA")=0,COUNTIFS('Action Tracker'!$B$5:$B$33,"HIGH",'Action Tracker'!$J$5:$J$33,"&lt;&gt;Done – Ready for QA")=0),"YES – all C &amp; H items done","NO – "&amp;(COUNTIFS('Action Tracker'!$B$5:$B$33,"CRITICAL",'Action Tracker'!$J$5:$J$33,"&lt;&gt;Done – Ready for QA")+COUNTIFS('Action Tracker'!$B$5:$B$33,"HIGH",'Action Tracker'!$J$5:$J$33,"&lt;&gt;Done – Ready for QA"))&amp;" critical/high item(s) still open")</f>
        <v>NO – 21 critical/high item(s) still open</v>
      </c>
      <c r="D7" s="7"/>
      <c r="E7" s="7"/>
      <c r="F7" s="7"/>
    </row>
    <row r="9" customFormat="false" ht="15" hidden="false" customHeight="false" outlineLevel="0" collapsed="false">
      <c r="B9" s="6" t="s">
        <v>8</v>
      </c>
    </row>
    <row r="10" customFormat="false" ht="30" hidden="false" customHeight="true" outlineLevel="0" collapsed="false"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8" t="s">
        <v>15</v>
      </c>
    </row>
    <row r="11" customFormat="false" ht="15" hidden="false" customHeight="false" outlineLevel="0" collapsed="false">
      <c r="B11" s="9" t="s">
        <v>16</v>
      </c>
      <c r="C11" s="10" t="n">
        <f aca="false">COUNTIF('Action Tracker'!$B$5:$B$33,B11)</f>
        <v>5</v>
      </c>
      <c r="D11" s="10" t="n">
        <f aca="false">COUNTIFS('Action Tracker'!$B$5:$B$33,$B11,'Action Tracker'!$J$5:$J$33,"Open")</f>
        <v>5</v>
      </c>
      <c r="E11" s="10" t="n">
        <f aca="false">COUNTIFS('Action Tracker'!$B$5:$B$33,$B11,'Action Tracker'!$J$5:$J$33,"In Progress")</f>
        <v>0</v>
      </c>
      <c r="F11" s="10" t="n">
        <f aca="false">COUNTIFS('Action Tracker'!$B$5:$B$33,$B11,'Action Tracker'!$J$5:$J$33,"Done – Ready for QA")</f>
        <v>0</v>
      </c>
      <c r="G11" s="10" t="n">
        <f aca="false">COUNTIFS('Action Tracker'!$B$5:$B$33,$B11,'Action Tracker'!$J$5:$J$33,"Blocked / Cannot Complete")</f>
        <v>0</v>
      </c>
      <c r="H11" s="11" t="n">
        <f aca="false">IFERROR(F11/C11,0)</f>
        <v>0</v>
      </c>
    </row>
    <row r="12" customFormat="false" ht="15" hidden="false" customHeight="false" outlineLevel="0" collapsed="false">
      <c r="B12" s="12" t="s">
        <v>17</v>
      </c>
      <c r="C12" s="10" t="n">
        <f aca="false">COUNTIF('Action Tracker'!$B$5:$B$33,B12)</f>
        <v>16</v>
      </c>
      <c r="D12" s="10" t="n">
        <f aca="false">COUNTIFS('Action Tracker'!$B$5:$B$33,$B12,'Action Tracker'!$J$5:$J$33,"Open")</f>
        <v>16</v>
      </c>
      <c r="E12" s="10" t="n">
        <f aca="false">COUNTIFS('Action Tracker'!$B$5:$B$33,$B12,'Action Tracker'!$J$5:$J$33,"In Progress")</f>
        <v>0</v>
      </c>
      <c r="F12" s="10" t="n">
        <f aca="false">COUNTIFS('Action Tracker'!$B$5:$B$33,$B12,'Action Tracker'!$J$5:$J$33,"Done – Ready for QA")</f>
        <v>0</v>
      </c>
      <c r="G12" s="10" t="n">
        <f aca="false">COUNTIFS('Action Tracker'!$B$5:$B$33,$B12,'Action Tracker'!$J$5:$J$33,"Blocked / Cannot Complete")</f>
        <v>0</v>
      </c>
      <c r="H12" s="11" t="n">
        <f aca="false">IFERROR(F12/C12,0)</f>
        <v>0</v>
      </c>
    </row>
    <row r="13" customFormat="false" ht="15" hidden="false" customHeight="false" outlineLevel="0" collapsed="false">
      <c r="B13" s="13" t="s">
        <v>18</v>
      </c>
      <c r="C13" s="10" t="n">
        <f aca="false">COUNTIF('Action Tracker'!$B$5:$B$33,B13)</f>
        <v>8</v>
      </c>
      <c r="D13" s="10" t="n">
        <f aca="false">COUNTIFS('Action Tracker'!$B$5:$B$33,$B13,'Action Tracker'!$J$5:$J$33,"Open")</f>
        <v>8</v>
      </c>
      <c r="E13" s="10" t="n">
        <f aca="false">COUNTIFS('Action Tracker'!$B$5:$B$33,$B13,'Action Tracker'!$J$5:$J$33,"In Progress")</f>
        <v>0</v>
      </c>
      <c r="F13" s="10" t="n">
        <f aca="false">COUNTIFS('Action Tracker'!$B$5:$B$33,$B13,'Action Tracker'!$J$5:$J$33,"Done – Ready for QA")</f>
        <v>0</v>
      </c>
      <c r="G13" s="10" t="n">
        <f aca="false">COUNTIFS('Action Tracker'!$B$5:$B$33,$B13,'Action Tracker'!$J$5:$J$33,"Blocked / Cannot Complete")</f>
        <v>0</v>
      </c>
      <c r="H13" s="11" t="n">
        <f aca="false">IFERROR(F13/C13,0)</f>
        <v>0</v>
      </c>
    </row>
    <row r="14" customFormat="false" ht="15" hidden="false" customHeight="false" outlineLevel="0" collapsed="false">
      <c r="B14" s="14" t="s">
        <v>19</v>
      </c>
      <c r="C14" s="15" t="n">
        <f aca="false">SUM(C11:C13)</f>
        <v>29</v>
      </c>
      <c r="D14" s="15" t="n">
        <f aca="false">SUM(D11:D13)</f>
        <v>29</v>
      </c>
      <c r="E14" s="15" t="n">
        <f aca="false">SUM(E11:E13)</f>
        <v>0</v>
      </c>
      <c r="F14" s="15" t="n">
        <f aca="false">SUM(F11:F13)</f>
        <v>0</v>
      </c>
      <c r="G14" s="15" t="n">
        <f aca="false">SUM(G11:G13)</f>
        <v>0</v>
      </c>
      <c r="H14" s="16" t="n">
        <f aca="false">IFERROR(F14/C14,0)</f>
        <v>0</v>
      </c>
    </row>
    <row r="16" customFormat="false" ht="15" hidden="false" customHeight="false" outlineLevel="0" collapsed="false">
      <c r="B16" s="6" t="s">
        <v>20</v>
      </c>
      <c r="F16" s="6" t="s">
        <v>21</v>
      </c>
    </row>
    <row r="17" customFormat="false" ht="15" hidden="false" customHeight="true" outlineLevel="0" collapsed="false">
      <c r="B17" s="8" t="s">
        <v>22</v>
      </c>
      <c r="C17" s="8" t="s">
        <v>23</v>
      </c>
      <c r="D17" s="8" t="s">
        <v>24</v>
      </c>
      <c r="F17" s="8" t="s">
        <v>25</v>
      </c>
      <c r="G17" s="8"/>
      <c r="H17" s="8" t="s">
        <v>23</v>
      </c>
    </row>
    <row r="18" customFormat="false" ht="15" hidden="false" customHeight="true" outlineLevel="0" collapsed="false">
      <c r="B18" s="17" t="s">
        <v>26</v>
      </c>
      <c r="C18" s="10" t="n">
        <f aca="false">COUNTIF('Action Tracker'!$R$5:$R$33,B18)</f>
        <v>29</v>
      </c>
      <c r="D18" s="11" t="n">
        <f aca="false">IFERROR(C18/$B$5,0)</f>
        <v>1</v>
      </c>
      <c r="F18" s="18" t="s">
        <v>27</v>
      </c>
      <c r="G18" s="18"/>
      <c r="H18" s="10" t="n">
        <f aca="false">COUNTIF('Action Tracker'!$M$5:$M$33,"Not Tested")</f>
        <v>29</v>
      </c>
    </row>
    <row r="19" customFormat="false" ht="15" hidden="false" customHeight="true" outlineLevel="0" collapsed="false">
      <c r="B19" s="12" t="s">
        <v>28</v>
      </c>
      <c r="C19" s="10" t="n">
        <f aca="false">COUNTIF('Action Tracker'!$R$5:$R$33,B19)</f>
        <v>0</v>
      </c>
      <c r="D19" s="11" t="n">
        <f aca="false">IFERROR(C19/$B$5,0)</f>
        <v>0</v>
      </c>
      <c r="F19" s="18" t="s">
        <v>29</v>
      </c>
      <c r="G19" s="18"/>
      <c r="H19" s="10" t="n">
        <f aca="false">COUNTIF('Action Tracker'!$M$5:$M$33,"Pass")</f>
        <v>0</v>
      </c>
    </row>
    <row r="20" customFormat="false" ht="15" hidden="false" customHeight="true" outlineLevel="0" collapsed="false">
      <c r="B20" s="19" t="s">
        <v>30</v>
      </c>
      <c r="C20" s="10" t="n">
        <f aca="false">COUNTIF('Action Tracker'!$R$5:$R$33,B20)</f>
        <v>0</v>
      </c>
      <c r="D20" s="11" t="n">
        <f aca="false">IFERROR(C20/$B$5,0)</f>
        <v>0</v>
      </c>
      <c r="F20" s="18" t="s">
        <v>31</v>
      </c>
      <c r="G20" s="18"/>
      <c r="H20" s="10" t="n">
        <f aca="false">COUNTIF('Action Tracker'!$M$5:$M$33,"Fail – Reopen")</f>
        <v>0</v>
      </c>
    </row>
    <row r="21" customFormat="false" ht="15" hidden="false" customHeight="true" outlineLevel="0" collapsed="false">
      <c r="B21" s="20" t="s">
        <v>32</v>
      </c>
      <c r="C21" s="10" t="n">
        <f aca="false">COUNTIF('Action Tracker'!$R$5:$R$33,B21)</f>
        <v>0</v>
      </c>
      <c r="D21" s="11" t="n">
        <f aca="false">IFERROR(C21/$B$5,0)</f>
        <v>0</v>
      </c>
      <c r="F21" s="18" t="s">
        <v>33</v>
      </c>
      <c r="G21" s="18"/>
      <c r="H21" s="10" t="n">
        <f aca="false">COUNTIF('Action Tracker'!$M$5:$M$33,"Retest Needed")</f>
        <v>0</v>
      </c>
    </row>
    <row r="22" customFormat="false" ht="15" hidden="false" customHeight="true" outlineLevel="0" collapsed="false">
      <c r="B22" s="21" t="s">
        <v>34</v>
      </c>
      <c r="C22" s="10" t="n">
        <f aca="false">COUNTIF('Action Tracker'!$R$5:$R$33,B22)</f>
        <v>0</v>
      </c>
      <c r="D22" s="11" t="n">
        <f aca="false">IFERROR(C22/$B$5,0)</f>
        <v>0</v>
      </c>
      <c r="F22" s="18" t="s">
        <v>35</v>
      </c>
      <c r="G22" s="18"/>
      <c r="H22" s="10" t="n">
        <f aca="false">COUNTIF('Action Tracker'!$P$5:$P$33,"Pending")</f>
        <v>29</v>
      </c>
    </row>
    <row r="23" customFormat="false" ht="15" hidden="false" customHeight="true" outlineLevel="0" collapsed="false">
      <c r="B23" s="22" t="s">
        <v>36</v>
      </c>
      <c r="C23" s="10" t="n">
        <f aca="false">COUNTIF('Action Tracker'!$R$5:$R$33,B23)</f>
        <v>0</v>
      </c>
      <c r="D23" s="11" t="n">
        <f aca="false">IFERROR(C23/$B$5,0)</f>
        <v>0</v>
      </c>
      <c r="F23" s="18" t="s">
        <v>37</v>
      </c>
      <c r="G23" s="18"/>
      <c r="H23" s="10" t="n">
        <f aca="false">COUNTIF('Action Tracker'!$P$5:$P$33,"Approved")</f>
        <v>0</v>
      </c>
    </row>
    <row r="24" customFormat="false" ht="15" hidden="false" customHeight="true" outlineLevel="0" collapsed="false">
      <c r="B24" s="23" t="s">
        <v>38</v>
      </c>
      <c r="C24" s="10" t="n">
        <f aca="false">COUNTIF('Action Tracker'!$R$5:$R$33,B24)</f>
        <v>0</v>
      </c>
      <c r="D24" s="11" t="n">
        <f aca="false">IFERROR(C24/$B$5,0)</f>
        <v>0</v>
      </c>
      <c r="F24" s="18" t="s">
        <v>39</v>
      </c>
      <c r="G24" s="18"/>
      <c r="H24" s="10" t="n">
        <f aca="false">COUNTIF('Action Tracker'!$P$5:$P$33,"Changes Requested")</f>
        <v>0</v>
      </c>
    </row>
    <row r="25" customFormat="false" ht="15" hidden="false" customHeight="false" outlineLevel="0" collapsed="false">
      <c r="B25" s="14" t="s">
        <v>19</v>
      </c>
      <c r="C25" s="15" t="n">
        <f aca="false">SUM(C18:C24)</f>
        <v>29</v>
      </c>
      <c r="D25" s="16" t="n">
        <f aca="false">SUM(D18:D24)</f>
        <v>1</v>
      </c>
    </row>
    <row r="27" customFormat="false" ht="15" hidden="false" customHeight="false" outlineLevel="0" collapsed="false">
      <c r="B27" s="24" t="s">
        <v>40</v>
      </c>
      <c r="E27" s="24" t="str">
        <f aca="false">COUNTIF('Regression (Passed)'!D4:D9,"Still Passing")&amp;" / "&amp;COUNTA('Regression (Passed)'!A4:A9)</f>
        <v>0 / 6</v>
      </c>
    </row>
    <row r="28" customFormat="false" ht="15" hidden="false" customHeight="false" outlineLevel="0" collapsed="false">
      <c r="B28" s="24" t="s">
        <v>41</v>
      </c>
      <c r="E28" s="25" t="n">
        <f aca="false">'Return-for-QA Checklist'!C18</f>
        <v>0</v>
      </c>
    </row>
  </sheetData>
  <mergeCells count="9">
    <mergeCell ref="C7:F7"/>
    <mergeCell ref="F17:G17"/>
    <mergeCell ref="F18:G18"/>
    <mergeCell ref="F19:G19"/>
    <mergeCell ref="F20:G20"/>
    <mergeCell ref="F21:G21"/>
    <mergeCell ref="F22:G22"/>
    <mergeCell ref="F23:G23"/>
    <mergeCell ref="F24:G24"/>
  </mergeCells>
  <conditionalFormatting sqref="C7">
    <cfRule type="expression" priority="2" aboveAverage="0" equalAverage="0" bottom="0" percent="0" rank="0" text="" dxfId="0">
      <formula>LEFT($C$7,3)="YES"</formula>
    </cfRule>
    <cfRule type="expression" priority="3" aboveAverage="0" equalAverage="0" bottom="0" percent="0" rank="0" text="" dxfId="1">
      <formula>LEFT($C$7,2)="NO"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4B"/>
    <pageSetUpPr fitToPage="true"/>
  </sheetPr>
  <dimension ref="A1:R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46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3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32"/>
    <col collapsed="false" customWidth="true" hidden="false" outlineLevel="0" max="16" min="16" style="0" width="16"/>
    <col collapsed="false" customWidth="true" hidden="false" outlineLevel="0" max="17" min="17" style="0" width="28"/>
    <col collapsed="false" customWidth="true" hidden="false" outlineLevel="0" max="18" min="18" style="0" width="18"/>
  </cols>
  <sheetData>
    <row r="1" customFormat="false" ht="16.15" hidden="false" customHeight="false" outlineLevel="0" collapsed="false">
      <c r="A1" s="26" t="s">
        <v>42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customFormat="false" ht="15" hidden="false" customHeight="false" outlineLevel="0" collapsed="false">
      <c r="A2" s="27" t="s">
        <v>43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4" customFormat="false" ht="42" hidden="false" customHeight="true" outlineLevel="0" collapsed="false">
      <c r="A4" s="8" t="s">
        <v>44</v>
      </c>
      <c r="B4" s="8" t="s">
        <v>9</v>
      </c>
      <c r="C4" s="8" t="s">
        <v>45</v>
      </c>
      <c r="D4" s="8" t="s">
        <v>46</v>
      </c>
      <c r="E4" s="8" t="s">
        <v>47</v>
      </c>
      <c r="F4" s="8" t="s">
        <v>48</v>
      </c>
      <c r="G4" s="8" t="s">
        <v>49</v>
      </c>
      <c r="H4" s="8" t="s">
        <v>50</v>
      </c>
      <c r="I4" s="8" t="s">
        <v>51</v>
      </c>
      <c r="J4" s="8" t="s">
        <v>52</v>
      </c>
      <c r="K4" s="8" t="s">
        <v>53</v>
      </c>
      <c r="L4" s="8" t="s">
        <v>54</v>
      </c>
      <c r="M4" s="8" t="s">
        <v>55</v>
      </c>
      <c r="N4" s="8" t="s">
        <v>56</v>
      </c>
      <c r="O4" s="8" t="s">
        <v>57</v>
      </c>
      <c r="P4" s="8" t="s">
        <v>58</v>
      </c>
      <c r="Q4" s="8" t="s">
        <v>59</v>
      </c>
      <c r="R4" s="8" t="s">
        <v>60</v>
      </c>
    </row>
    <row r="5" customFormat="false" ht="61.5" hidden="false" customHeight="true" outlineLevel="0" collapsed="false">
      <c r="A5" s="28" t="s">
        <v>61</v>
      </c>
      <c r="B5" s="29" t="s">
        <v>16</v>
      </c>
      <c r="C5" s="18" t="s">
        <v>62</v>
      </c>
      <c r="D5" s="18" t="s">
        <v>63</v>
      </c>
      <c r="E5" s="18" t="s">
        <v>64</v>
      </c>
      <c r="F5" s="18" t="s">
        <v>65</v>
      </c>
      <c r="G5" s="30" t="s">
        <v>66</v>
      </c>
      <c r="H5" s="30" t="s">
        <v>66</v>
      </c>
      <c r="I5" s="31"/>
      <c r="J5" s="30" t="s">
        <v>11</v>
      </c>
      <c r="K5" s="32"/>
      <c r="L5" s="31"/>
      <c r="M5" s="30" t="s">
        <v>67</v>
      </c>
      <c r="N5" s="32"/>
      <c r="O5" s="31"/>
      <c r="P5" s="30" t="s">
        <v>68</v>
      </c>
      <c r="Q5" s="31"/>
      <c r="R5" s="28" t="str">
        <f aca="false">IF(AND(J5="Done – Ready for QA",M5="Pass",P5="Approved"),"CLOSED",IF(J5="Blocked / Cannot Complete","BLOCKED",IF(M5="Fail – Reopen","REOPENED",IF(AND(J5="Done – Ready for QA",M5&lt;&gt;"Pass"),"AWAITING QA",IF(AND(M5="Pass",P5&lt;&gt;"Approved"),"AWAITING CLIENT",IF(J5="In Progress","IN PROGRESS","OPEN"))))))</f>
        <v>OPEN</v>
      </c>
    </row>
    <row r="6" customFormat="false" ht="61.5" hidden="false" customHeight="true" outlineLevel="0" collapsed="false">
      <c r="A6" s="28" t="s">
        <v>69</v>
      </c>
      <c r="B6" s="29" t="s">
        <v>16</v>
      </c>
      <c r="C6" s="18" t="s">
        <v>70</v>
      </c>
      <c r="D6" s="18" t="s">
        <v>71</v>
      </c>
      <c r="E6" s="18" t="s">
        <v>72</v>
      </c>
      <c r="F6" s="18" t="s">
        <v>73</v>
      </c>
      <c r="G6" s="30" t="s">
        <v>66</v>
      </c>
      <c r="H6" s="30" t="s">
        <v>66</v>
      </c>
      <c r="I6" s="31"/>
      <c r="J6" s="30" t="s">
        <v>11</v>
      </c>
      <c r="K6" s="32"/>
      <c r="L6" s="31"/>
      <c r="M6" s="30" t="s">
        <v>67</v>
      </c>
      <c r="N6" s="32"/>
      <c r="O6" s="31"/>
      <c r="P6" s="30" t="s">
        <v>68</v>
      </c>
      <c r="Q6" s="31"/>
      <c r="R6" s="28" t="str">
        <f aca="false">IF(AND(J6="Done – Ready for QA",M6="Pass",P6="Approved"),"CLOSED",IF(J6="Blocked / Cannot Complete","BLOCKED",IF(M6="Fail – Reopen","REOPENED",IF(AND(J6="Done – Ready for QA",M6&lt;&gt;"Pass"),"AWAITING QA",IF(AND(M6="Pass",P6&lt;&gt;"Approved"),"AWAITING CLIENT",IF(J6="In Progress","IN PROGRESS","OPEN"))))))</f>
        <v>OPEN</v>
      </c>
    </row>
    <row r="7" customFormat="false" ht="61.5" hidden="false" customHeight="true" outlineLevel="0" collapsed="false">
      <c r="A7" s="28" t="s">
        <v>74</v>
      </c>
      <c r="B7" s="29" t="s">
        <v>16</v>
      </c>
      <c r="C7" s="18" t="s">
        <v>75</v>
      </c>
      <c r="D7" s="18" t="s">
        <v>76</v>
      </c>
      <c r="E7" s="18" t="s">
        <v>77</v>
      </c>
      <c r="F7" s="18" t="s">
        <v>78</v>
      </c>
      <c r="G7" s="30" t="s">
        <v>66</v>
      </c>
      <c r="H7" s="30" t="s">
        <v>66</v>
      </c>
      <c r="I7" s="31"/>
      <c r="J7" s="30" t="s">
        <v>11</v>
      </c>
      <c r="K7" s="32"/>
      <c r="L7" s="31"/>
      <c r="M7" s="30" t="s">
        <v>67</v>
      </c>
      <c r="N7" s="32"/>
      <c r="O7" s="31"/>
      <c r="P7" s="30" t="s">
        <v>68</v>
      </c>
      <c r="Q7" s="31"/>
      <c r="R7" s="28" t="str">
        <f aca="false">IF(AND(J7="Done – Ready for QA",M7="Pass",P7="Approved"),"CLOSED",IF(J7="Blocked / Cannot Complete","BLOCKED",IF(M7="Fail – Reopen","REOPENED",IF(AND(J7="Done – Ready for QA",M7&lt;&gt;"Pass"),"AWAITING QA",IF(AND(M7="Pass",P7&lt;&gt;"Approved"),"AWAITING CLIENT",IF(J7="In Progress","IN PROGRESS","OPEN"))))))</f>
        <v>OPEN</v>
      </c>
    </row>
    <row r="8" customFormat="false" ht="61.5" hidden="false" customHeight="true" outlineLevel="0" collapsed="false">
      <c r="A8" s="28" t="s">
        <v>79</v>
      </c>
      <c r="B8" s="29" t="s">
        <v>16</v>
      </c>
      <c r="C8" s="18" t="s">
        <v>80</v>
      </c>
      <c r="D8" s="18" t="s">
        <v>81</v>
      </c>
      <c r="E8" s="18" t="s">
        <v>82</v>
      </c>
      <c r="F8" s="18" t="s">
        <v>83</v>
      </c>
      <c r="G8" s="30" t="s">
        <v>66</v>
      </c>
      <c r="H8" s="30" t="s">
        <v>66</v>
      </c>
      <c r="I8" s="31"/>
      <c r="J8" s="30" t="s">
        <v>11</v>
      </c>
      <c r="K8" s="32"/>
      <c r="L8" s="31"/>
      <c r="M8" s="30" t="s">
        <v>67</v>
      </c>
      <c r="N8" s="32"/>
      <c r="O8" s="31"/>
      <c r="P8" s="30" t="s">
        <v>68</v>
      </c>
      <c r="Q8" s="31"/>
      <c r="R8" s="28" t="str">
        <f aca="false">IF(AND(J8="Done – Ready for QA",M8="Pass",P8="Approved"),"CLOSED",IF(J8="Blocked / Cannot Complete","BLOCKED",IF(M8="Fail – Reopen","REOPENED",IF(AND(J8="Done – Ready for QA",M8&lt;&gt;"Pass"),"AWAITING QA",IF(AND(M8="Pass",P8&lt;&gt;"Approved"),"AWAITING CLIENT",IF(J8="In Progress","IN PROGRESS","OPEN"))))))</f>
        <v>OPEN</v>
      </c>
    </row>
    <row r="9" customFormat="false" ht="61.5" hidden="false" customHeight="true" outlineLevel="0" collapsed="false">
      <c r="A9" s="28" t="s">
        <v>84</v>
      </c>
      <c r="B9" s="29" t="s">
        <v>16</v>
      </c>
      <c r="C9" s="18" t="s">
        <v>62</v>
      </c>
      <c r="D9" s="18" t="s">
        <v>85</v>
      </c>
      <c r="E9" s="18" t="s">
        <v>86</v>
      </c>
      <c r="F9" s="18" t="s">
        <v>87</v>
      </c>
      <c r="G9" s="30" t="s">
        <v>66</v>
      </c>
      <c r="H9" s="30" t="s">
        <v>66</v>
      </c>
      <c r="I9" s="31"/>
      <c r="J9" s="30" t="s">
        <v>11</v>
      </c>
      <c r="K9" s="32"/>
      <c r="L9" s="31"/>
      <c r="M9" s="30" t="s">
        <v>67</v>
      </c>
      <c r="N9" s="32"/>
      <c r="O9" s="31"/>
      <c r="P9" s="30" t="s">
        <v>68</v>
      </c>
      <c r="Q9" s="31"/>
      <c r="R9" s="28" t="str">
        <f aca="false">IF(AND(J9="Done – Ready for QA",M9="Pass",P9="Approved"),"CLOSED",IF(J9="Blocked / Cannot Complete","BLOCKED",IF(M9="Fail – Reopen","REOPENED",IF(AND(J9="Done – Ready for QA",M9&lt;&gt;"Pass"),"AWAITING QA",IF(AND(M9="Pass",P9&lt;&gt;"Approved"),"AWAITING CLIENT",IF(J9="In Progress","IN PROGRESS","OPEN"))))))</f>
        <v>OPEN</v>
      </c>
    </row>
    <row r="10" customFormat="false" ht="61.5" hidden="false" customHeight="true" outlineLevel="0" collapsed="false">
      <c r="A10" s="28" t="s">
        <v>88</v>
      </c>
      <c r="B10" s="33" t="s">
        <v>17</v>
      </c>
      <c r="C10" s="18" t="s">
        <v>89</v>
      </c>
      <c r="D10" s="18" t="s">
        <v>90</v>
      </c>
      <c r="E10" s="18" t="s">
        <v>91</v>
      </c>
      <c r="F10" s="18" t="s">
        <v>92</v>
      </c>
      <c r="G10" s="30" t="s">
        <v>66</v>
      </c>
      <c r="H10" s="30" t="s">
        <v>66</v>
      </c>
      <c r="I10" s="31"/>
      <c r="J10" s="30" t="s">
        <v>11</v>
      </c>
      <c r="K10" s="32"/>
      <c r="L10" s="31"/>
      <c r="M10" s="30" t="s">
        <v>67</v>
      </c>
      <c r="N10" s="32"/>
      <c r="O10" s="31"/>
      <c r="P10" s="30" t="s">
        <v>68</v>
      </c>
      <c r="Q10" s="31"/>
      <c r="R10" s="28" t="str">
        <f aca="false">IF(AND(J10="Done – Ready for QA",M10="Pass",P10="Approved"),"CLOSED",IF(J10="Blocked / Cannot Complete","BLOCKED",IF(M10="Fail – Reopen","REOPENED",IF(AND(J10="Done – Ready for QA",M10&lt;&gt;"Pass"),"AWAITING QA",IF(AND(M10="Pass",P10&lt;&gt;"Approved"),"AWAITING CLIENT",IF(J10="In Progress","IN PROGRESS","OPEN"))))))</f>
        <v>OPEN</v>
      </c>
    </row>
    <row r="11" customFormat="false" ht="61.5" hidden="false" customHeight="true" outlineLevel="0" collapsed="false">
      <c r="A11" s="28" t="s">
        <v>93</v>
      </c>
      <c r="B11" s="33" t="s">
        <v>17</v>
      </c>
      <c r="C11" s="18" t="s">
        <v>94</v>
      </c>
      <c r="D11" s="18" t="s">
        <v>95</v>
      </c>
      <c r="E11" s="18" t="s">
        <v>96</v>
      </c>
      <c r="F11" s="18" t="s">
        <v>97</v>
      </c>
      <c r="G11" s="30" t="s">
        <v>66</v>
      </c>
      <c r="H11" s="30" t="s">
        <v>66</v>
      </c>
      <c r="I11" s="31"/>
      <c r="J11" s="30" t="s">
        <v>11</v>
      </c>
      <c r="K11" s="32"/>
      <c r="L11" s="31"/>
      <c r="M11" s="30" t="s">
        <v>67</v>
      </c>
      <c r="N11" s="32"/>
      <c r="O11" s="31"/>
      <c r="P11" s="30" t="s">
        <v>68</v>
      </c>
      <c r="Q11" s="31"/>
      <c r="R11" s="28" t="str">
        <f aca="false">IF(AND(J11="Done – Ready for QA",M11="Pass",P11="Approved"),"CLOSED",IF(J11="Blocked / Cannot Complete","BLOCKED",IF(M11="Fail – Reopen","REOPENED",IF(AND(J11="Done – Ready for QA",M11&lt;&gt;"Pass"),"AWAITING QA",IF(AND(M11="Pass",P11&lt;&gt;"Approved"),"AWAITING CLIENT",IF(J11="In Progress","IN PROGRESS","OPEN"))))))</f>
        <v>OPEN</v>
      </c>
    </row>
    <row r="12" customFormat="false" ht="61.5" hidden="false" customHeight="true" outlineLevel="0" collapsed="false">
      <c r="A12" s="28" t="s">
        <v>98</v>
      </c>
      <c r="B12" s="33" t="s">
        <v>17</v>
      </c>
      <c r="C12" s="18" t="s">
        <v>94</v>
      </c>
      <c r="D12" s="18" t="s">
        <v>99</v>
      </c>
      <c r="E12" s="18" t="s">
        <v>100</v>
      </c>
      <c r="F12" s="18" t="s">
        <v>101</v>
      </c>
      <c r="G12" s="30" t="s">
        <v>66</v>
      </c>
      <c r="H12" s="30" t="s">
        <v>66</v>
      </c>
      <c r="I12" s="31"/>
      <c r="J12" s="30" t="s">
        <v>11</v>
      </c>
      <c r="K12" s="32"/>
      <c r="L12" s="31"/>
      <c r="M12" s="30" t="s">
        <v>67</v>
      </c>
      <c r="N12" s="32"/>
      <c r="O12" s="31"/>
      <c r="P12" s="30" t="s">
        <v>68</v>
      </c>
      <c r="Q12" s="31"/>
      <c r="R12" s="28" t="str">
        <f aca="false">IF(AND(J12="Done – Ready for QA",M12="Pass",P12="Approved"),"CLOSED",IF(J12="Blocked / Cannot Complete","BLOCKED",IF(M12="Fail – Reopen","REOPENED",IF(AND(J12="Done – Ready for QA",M12&lt;&gt;"Pass"),"AWAITING QA",IF(AND(M12="Pass",P12&lt;&gt;"Approved"),"AWAITING CLIENT",IF(J12="In Progress","IN PROGRESS","OPEN"))))))</f>
        <v>OPEN</v>
      </c>
    </row>
    <row r="13" customFormat="false" ht="61.5" hidden="false" customHeight="true" outlineLevel="0" collapsed="false">
      <c r="A13" s="28" t="s">
        <v>102</v>
      </c>
      <c r="B13" s="33" t="s">
        <v>17</v>
      </c>
      <c r="C13" s="18" t="s">
        <v>94</v>
      </c>
      <c r="D13" s="18" t="s">
        <v>103</v>
      </c>
      <c r="E13" s="18" t="s">
        <v>104</v>
      </c>
      <c r="F13" s="18" t="s">
        <v>105</v>
      </c>
      <c r="G13" s="30" t="s">
        <v>66</v>
      </c>
      <c r="H13" s="30" t="s">
        <v>66</v>
      </c>
      <c r="I13" s="31"/>
      <c r="J13" s="30" t="s">
        <v>11</v>
      </c>
      <c r="K13" s="32"/>
      <c r="L13" s="31"/>
      <c r="M13" s="30" t="s">
        <v>67</v>
      </c>
      <c r="N13" s="32"/>
      <c r="O13" s="31"/>
      <c r="P13" s="30" t="s">
        <v>68</v>
      </c>
      <c r="Q13" s="31"/>
      <c r="R13" s="28" t="str">
        <f aca="false">IF(AND(J13="Done – Ready for QA",M13="Pass",P13="Approved"),"CLOSED",IF(J13="Blocked / Cannot Complete","BLOCKED",IF(M13="Fail – Reopen","REOPENED",IF(AND(J13="Done – Ready for QA",M13&lt;&gt;"Pass"),"AWAITING QA",IF(AND(M13="Pass",P13&lt;&gt;"Approved"),"AWAITING CLIENT",IF(J13="In Progress","IN PROGRESS","OPEN"))))))</f>
        <v>OPEN</v>
      </c>
    </row>
    <row r="14" customFormat="false" ht="61.5" hidden="false" customHeight="true" outlineLevel="0" collapsed="false">
      <c r="A14" s="28" t="s">
        <v>106</v>
      </c>
      <c r="B14" s="33" t="s">
        <v>17</v>
      </c>
      <c r="C14" s="18" t="s">
        <v>94</v>
      </c>
      <c r="D14" s="18" t="s">
        <v>107</v>
      </c>
      <c r="E14" s="18" t="s">
        <v>108</v>
      </c>
      <c r="F14" s="18" t="s">
        <v>109</v>
      </c>
      <c r="G14" s="30" t="s">
        <v>66</v>
      </c>
      <c r="H14" s="30" t="s">
        <v>66</v>
      </c>
      <c r="I14" s="31"/>
      <c r="J14" s="30" t="s">
        <v>11</v>
      </c>
      <c r="K14" s="32"/>
      <c r="L14" s="31"/>
      <c r="M14" s="30" t="s">
        <v>67</v>
      </c>
      <c r="N14" s="32"/>
      <c r="O14" s="31"/>
      <c r="P14" s="30" t="s">
        <v>68</v>
      </c>
      <c r="Q14" s="31"/>
      <c r="R14" s="28" t="str">
        <f aca="false">IF(AND(J14="Done – Ready for QA",M14="Pass",P14="Approved"),"CLOSED",IF(J14="Blocked / Cannot Complete","BLOCKED",IF(M14="Fail – Reopen","REOPENED",IF(AND(J14="Done – Ready for QA",M14&lt;&gt;"Pass"),"AWAITING QA",IF(AND(M14="Pass",P14&lt;&gt;"Approved"),"AWAITING CLIENT",IF(J14="In Progress","IN PROGRESS","OPEN"))))))</f>
        <v>OPEN</v>
      </c>
    </row>
    <row r="15" customFormat="false" ht="61.5" hidden="false" customHeight="true" outlineLevel="0" collapsed="false">
      <c r="A15" s="28" t="s">
        <v>110</v>
      </c>
      <c r="B15" s="33" t="s">
        <v>17</v>
      </c>
      <c r="C15" s="18" t="s">
        <v>75</v>
      </c>
      <c r="D15" s="18" t="s">
        <v>111</v>
      </c>
      <c r="E15" s="18" t="s">
        <v>112</v>
      </c>
      <c r="F15" s="18" t="s">
        <v>113</v>
      </c>
      <c r="G15" s="30" t="s">
        <v>66</v>
      </c>
      <c r="H15" s="30" t="s">
        <v>66</v>
      </c>
      <c r="I15" s="31"/>
      <c r="J15" s="30" t="s">
        <v>11</v>
      </c>
      <c r="K15" s="32"/>
      <c r="L15" s="31"/>
      <c r="M15" s="30" t="s">
        <v>67</v>
      </c>
      <c r="N15" s="32"/>
      <c r="O15" s="31"/>
      <c r="P15" s="30" t="s">
        <v>68</v>
      </c>
      <c r="Q15" s="31"/>
      <c r="R15" s="28" t="str">
        <f aca="false">IF(AND(J15="Done – Ready for QA",M15="Pass",P15="Approved"),"CLOSED",IF(J15="Blocked / Cannot Complete","BLOCKED",IF(M15="Fail – Reopen","REOPENED",IF(AND(J15="Done – Ready for QA",M15&lt;&gt;"Pass"),"AWAITING QA",IF(AND(M15="Pass",P15&lt;&gt;"Approved"),"AWAITING CLIENT",IF(J15="In Progress","IN PROGRESS","OPEN"))))))</f>
        <v>OPEN</v>
      </c>
    </row>
    <row r="16" customFormat="false" ht="61.5" hidden="false" customHeight="true" outlineLevel="0" collapsed="false">
      <c r="A16" s="28" t="s">
        <v>114</v>
      </c>
      <c r="B16" s="33" t="s">
        <v>17</v>
      </c>
      <c r="C16" s="18" t="s">
        <v>62</v>
      </c>
      <c r="D16" s="18" t="s">
        <v>115</v>
      </c>
      <c r="E16" s="18" t="s">
        <v>116</v>
      </c>
      <c r="F16" s="18" t="s">
        <v>117</v>
      </c>
      <c r="G16" s="30" t="s">
        <v>66</v>
      </c>
      <c r="H16" s="30" t="s">
        <v>66</v>
      </c>
      <c r="I16" s="31"/>
      <c r="J16" s="30" t="s">
        <v>11</v>
      </c>
      <c r="K16" s="32"/>
      <c r="L16" s="31"/>
      <c r="M16" s="30" t="s">
        <v>67</v>
      </c>
      <c r="N16" s="32"/>
      <c r="O16" s="31"/>
      <c r="P16" s="30" t="s">
        <v>68</v>
      </c>
      <c r="Q16" s="31"/>
      <c r="R16" s="28" t="str">
        <f aca="false">IF(AND(J16="Done – Ready for QA",M16="Pass",P16="Approved"),"CLOSED",IF(J16="Blocked / Cannot Complete","BLOCKED",IF(M16="Fail – Reopen","REOPENED",IF(AND(J16="Done – Ready for QA",M16&lt;&gt;"Pass"),"AWAITING QA",IF(AND(M16="Pass",P16&lt;&gt;"Approved"),"AWAITING CLIENT",IF(J16="In Progress","IN PROGRESS","OPEN"))))))</f>
        <v>OPEN</v>
      </c>
    </row>
    <row r="17" customFormat="false" ht="61.5" hidden="false" customHeight="true" outlineLevel="0" collapsed="false">
      <c r="A17" s="28" t="s">
        <v>118</v>
      </c>
      <c r="B17" s="33" t="s">
        <v>17</v>
      </c>
      <c r="C17" s="18" t="s">
        <v>89</v>
      </c>
      <c r="D17" s="18" t="s">
        <v>119</v>
      </c>
      <c r="E17" s="18" t="s">
        <v>120</v>
      </c>
      <c r="F17" s="18" t="s">
        <v>121</v>
      </c>
      <c r="G17" s="30" t="s">
        <v>66</v>
      </c>
      <c r="H17" s="30" t="s">
        <v>66</v>
      </c>
      <c r="I17" s="31"/>
      <c r="J17" s="30" t="s">
        <v>11</v>
      </c>
      <c r="K17" s="32"/>
      <c r="L17" s="31"/>
      <c r="M17" s="30" t="s">
        <v>67</v>
      </c>
      <c r="N17" s="32"/>
      <c r="O17" s="31"/>
      <c r="P17" s="30" t="s">
        <v>68</v>
      </c>
      <c r="Q17" s="31"/>
      <c r="R17" s="28" t="str">
        <f aca="false">IF(AND(J17="Done – Ready for QA",M17="Pass",P17="Approved"),"CLOSED",IF(J17="Blocked / Cannot Complete","BLOCKED",IF(M17="Fail – Reopen","REOPENED",IF(AND(J17="Done – Ready for QA",M17&lt;&gt;"Pass"),"AWAITING QA",IF(AND(M17="Pass",P17&lt;&gt;"Approved"),"AWAITING CLIENT",IF(J17="In Progress","IN PROGRESS","OPEN"))))))</f>
        <v>OPEN</v>
      </c>
    </row>
    <row r="18" customFormat="false" ht="61.5" hidden="false" customHeight="true" outlineLevel="0" collapsed="false">
      <c r="A18" s="28" t="s">
        <v>122</v>
      </c>
      <c r="B18" s="33" t="s">
        <v>17</v>
      </c>
      <c r="C18" s="18" t="s">
        <v>89</v>
      </c>
      <c r="D18" s="18" t="s">
        <v>123</v>
      </c>
      <c r="E18" s="18" t="s">
        <v>124</v>
      </c>
      <c r="F18" s="18" t="s">
        <v>125</v>
      </c>
      <c r="G18" s="30" t="s">
        <v>66</v>
      </c>
      <c r="H18" s="30" t="s">
        <v>66</v>
      </c>
      <c r="I18" s="31"/>
      <c r="J18" s="30" t="s">
        <v>11</v>
      </c>
      <c r="K18" s="32"/>
      <c r="L18" s="31"/>
      <c r="M18" s="30" t="s">
        <v>67</v>
      </c>
      <c r="N18" s="32"/>
      <c r="O18" s="31"/>
      <c r="P18" s="30" t="s">
        <v>68</v>
      </c>
      <c r="Q18" s="31"/>
      <c r="R18" s="28" t="str">
        <f aca="false">IF(AND(J18="Done – Ready for QA",M18="Pass",P18="Approved"),"CLOSED",IF(J18="Blocked / Cannot Complete","BLOCKED",IF(M18="Fail – Reopen","REOPENED",IF(AND(J18="Done – Ready for QA",M18&lt;&gt;"Pass"),"AWAITING QA",IF(AND(M18="Pass",P18&lt;&gt;"Approved"),"AWAITING CLIENT",IF(J18="In Progress","IN PROGRESS","OPEN"))))))</f>
        <v>OPEN</v>
      </c>
    </row>
    <row r="19" customFormat="false" ht="61.5" hidden="false" customHeight="true" outlineLevel="0" collapsed="false">
      <c r="A19" s="28" t="s">
        <v>126</v>
      </c>
      <c r="B19" s="33" t="s">
        <v>17</v>
      </c>
      <c r="C19" s="18" t="s">
        <v>70</v>
      </c>
      <c r="D19" s="18" t="s">
        <v>127</v>
      </c>
      <c r="E19" s="18" t="s">
        <v>128</v>
      </c>
      <c r="F19" s="18" t="s">
        <v>129</v>
      </c>
      <c r="G19" s="30" t="s">
        <v>66</v>
      </c>
      <c r="H19" s="30" t="s">
        <v>66</v>
      </c>
      <c r="I19" s="31"/>
      <c r="J19" s="30" t="s">
        <v>11</v>
      </c>
      <c r="K19" s="32"/>
      <c r="L19" s="31"/>
      <c r="M19" s="30" t="s">
        <v>67</v>
      </c>
      <c r="N19" s="32"/>
      <c r="O19" s="31"/>
      <c r="P19" s="30" t="s">
        <v>68</v>
      </c>
      <c r="Q19" s="31"/>
      <c r="R19" s="28" t="str">
        <f aca="false">IF(AND(J19="Done – Ready for QA",M19="Pass",P19="Approved"),"CLOSED",IF(J19="Blocked / Cannot Complete","BLOCKED",IF(M19="Fail – Reopen","REOPENED",IF(AND(J19="Done – Ready for QA",M19&lt;&gt;"Pass"),"AWAITING QA",IF(AND(M19="Pass",P19&lt;&gt;"Approved"),"AWAITING CLIENT",IF(J19="In Progress","IN PROGRESS","OPEN"))))))</f>
        <v>OPEN</v>
      </c>
    </row>
    <row r="20" customFormat="false" ht="61.5" hidden="false" customHeight="true" outlineLevel="0" collapsed="false">
      <c r="A20" s="28" t="s">
        <v>130</v>
      </c>
      <c r="B20" s="33" t="s">
        <v>17</v>
      </c>
      <c r="C20" s="18" t="s">
        <v>70</v>
      </c>
      <c r="D20" s="18" t="s">
        <v>131</v>
      </c>
      <c r="E20" s="18" t="s">
        <v>132</v>
      </c>
      <c r="F20" s="18" t="s">
        <v>133</v>
      </c>
      <c r="G20" s="30" t="s">
        <v>66</v>
      </c>
      <c r="H20" s="30" t="s">
        <v>66</v>
      </c>
      <c r="I20" s="31"/>
      <c r="J20" s="30" t="s">
        <v>11</v>
      </c>
      <c r="K20" s="32"/>
      <c r="L20" s="31"/>
      <c r="M20" s="30" t="s">
        <v>67</v>
      </c>
      <c r="N20" s="32"/>
      <c r="O20" s="31"/>
      <c r="P20" s="30" t="s">
        <v>68</v>
      </c>
      <c r="Q20" s="31"/>
      <c r="R20" s="28" t="str">
        <f aca="false">IF(AND(J20="Done – Ready for QA",M20="Pass",P20="Approved"),"CLOSED",IF(J20="Blocked / Cannot Complete","BLOCKED",IF(M20="Fail – Reopen","REOPENED",IF(AND(J20="Done – Ready for QA",M20&lt;&gt;"Pass"),"AWAITING QA",IF(AND(M20="Pass",P20&lt;&gt;"Approved"),"AWAITING CLIENT",IF(J20="In Progress","IN PROGRESS","OPEN"))))))</f>
        <v>OPEN</v>
      </c>
    </row>
    <row r="21" customFormat="false" ht="61.5" hidden="false" customHeight="true" outlineLevel="0" collapsed="false">
      <c r="A21" s="28" t="s">
        <v>134</v>
      </c>
      <c r="B21" s="33" t="s">
        <v>17</v>
      </c>
      <c r="C21" s="18" t="s">
        <v>94</v>
      </c>
      <c r="D21" s="18" t="s">
        <v>135</v>
      </c>
      <c r="E21" s="18" t="s">
        <v>136</v>
      </c>
      <c r="F21" s="18" t="s">
        <v>137</v>
      </c>
      <c r="G21" s="30" t="s">
        <v>66</v>
      </c>
      <c r="H21" s="30" t="s">
        <v>66</v>
      </c>
      <c r="I21" s="31"/>
      <c r="J21" s="30" t="s">
        <v>11</v>
      </c>
      <c r="K21" s="32"/>
      <c r="L21" s="31"/>
      <c r="M21" s="30" t="s">
        <v>67</v>
      </c>
      <c r="N21" s="32"/>
      <c r="O21" s="31"/>
      <c r="P21" s="30" t="s">
        <v>68</v>
      </c>
      <c r="Q21" s="31"/>
      <c r="R21" s="28" t="str">
        <f aca="false">IF(AND(J21="Done – Ready for QA",M21="Pass",P21="Approved"),"CLOSED",IF(J21="Blocked / Cannot Complete","BLOCKED",IF(M21="Fail – Reopen","REOPENED",IF(AND(J21="Done – Ready for QA",M21&lt;&gt;"Pass"),"AWAITING QA",IF(AND(M21="Pass",P21&lt;&gt;"Approved"),"AWAITING CLIENT",IF(J21="In Progress","IN PROGRESS","OPEN"))))))</f>
        <v>OPEN</v>
      </c>
    </row>
    <row r="22" customFormat="false" ht="61.5" hidden="false" customHeight="true" outlineLevel="0" collapsed="false">
      <c r="A22" s="28" t="s">
        <v>138</v>
      </c>
      <c r="B22" s="33" t="s">
        <v>17</v>
      </c>
      <c r="C22" s="18" t="s">
        <v>75</v>
      </c>
      <c r="D22" s="18" t="s">
        <v>139</v>
      </c>
      <c r="E22" s="18" t="s">
        <v>140</v>
      </c>
      <c r="F22" s="18" t="s">
        <v>141</v>
      </c>
      <c r="G22" s="30" t="s">
        <v>66</v>
      </c>
      <c r="H22" s="30" t="s">
        <v>66</v>
      </c>
      <c r="I22" s="31"/>
      <c r="J22" s="30" t="s">
        <v>11</v>
      </c>
      <c r="K22" s="32"/>
      <c r="L22" s="31"/>
      <c r="M22" s="30" t="s">
        <v>67</v>
      </c>
      <c r="N22" s="32"/>
      <c r="O22" s="31"/>
      <c r="P22" s="30" t="s">
        <v>68</v>
      </c>
      <c r="Q22" s="31"/>
      <c r="R22" s="28" t="str">
        <f aca="false">IF(AND(J22="Done – Ready for QA",M22="Pass",P22="Approved"),"CLOSED",IF(J22="Blocked / Cannot Complete","BLOCKED",IF(M22="Fail – Reopen","REOPENED",IF(AND(J22="Done – Ready for QA",M22&lt;&gt;"Pass"),"AWAITING QA",IF(AND(M22="Pass",P22&lt;&gt;"Approved"),"AWAITING CLIENT",IF(J22="In Progress","IN PROGRESS","OPEN"))))))</f>
        <v>OPEN</v>
      </c>
    </row>
    <row r="23" customFormat="false" ht="61.5" hidden="false" customHeight="true" outlineLevel="0" collapsed="false">
      <c r="A23" s="28" t="s">
        <v>142</v>
      </c>
      <c r="B23" s="33" t="s">
        <v>17</v>
      </c>
      <c r="C23" s="18" t="s">
        <v>75</v>
      </c>
      <c r="D23" s="18" t="s">
        <v>143</v>
      </c>
      <c r="E23" s="18" t="s">
        <v>144</v>
      </c>
      <c r="F23" s="18" t="s">
        <v>145</v>
      </c>
      <c r="G23" s="30" t="s">
        <v>66</v>
      </c>
      <c r="H23" s="30" t="s">
        <v>66</v>
      </c>
      <c r="I23" s="31"/>
      <c r="J23" s="30" t="s">
        <v>11</v>
      </c>
      <c r="K23" s="32"/>
      <c r="L23" s="31"/>
      <c r="M23" s="30" t="s">
        <v>67</v>
      </c>
      <c r="N23" s="32"/>
      <c r="O23" s="31"/>
      <c r="P23" s="30" t="s">
        <v>68</v>
      </c>
      <c r="Q23" s="31"/>
      <c r="R23" s="28" t="str">
        <f aca="false">IF(AND(J23="Done – Ready for QA",M23="Pass",P23="Approved"),"CLOSED",IF(J23="Blocked / Cannot Complete","BLOCKED",IF(M23="Fail – Reopen","REOPENED",IF(AND(J23="Done – Ready for QA",M23&lt;&gt;"Pass"),"AWAITING QA",IF(AND(M23="Pass",P23&lt;&gt;"Approved"),"AWAITING CLIENT",IF(J23="In Progress","IN PROGRESS","OPEN"))))))</f>
        <v>OPEN</v>
      </c>
    </row>
    <row r="24" customFormat="false" ht="61.5" hidden="false" customHeight="true" outlineLevel="0" collapsed="false">
      <c r="A24" s="28" t="s">
        <v>146</v>
      </c>
      <c r="B24" s="33" t="s">
        <v>17</v>
      </c>
      <c r="C24" s="18" t="s">
        <v>147</v>
      </c>
      <c r="D24" s="18" t="s">
        <v>148</v>
      </c>
      <c r="E24" s="18" t="s">
        <v>149</v>
      </c>
      <c r="F24" s="18" t="s">
        <v>150</v>
      </c>
      <c r="G24" s="30" t="s">
        <v>66</v>
      </c>
      <c r="H24" s="30" t="s">
        <v>66</v>
      </c>
      <c r="I24" s="31"/>
      <c r="J24" s="30" t="s">
        <v>11</v>
      </c>
      <c r="K24" s="32"/>
      <c r="L24" s="31"/>
      <c r="M24" s="30" t="s">
        <v>67</v>
      </c>
      <c r="N24" s="32"/>
      <c r="O24" s="31"/>
      <c r="P24" s="30" t="s">
        <v>68</v>
      </c>
      <c r="Q24" s="31"/>
      <c r="R24" s="28" t="str">
        <f aca="false">IF(AND(J24="Done – Ready for QA",M24="Pass",P24="Approved"),"CLOSED",IF(J24="Blocked / Cannot Complete","BLOCKED",IF(M24="Fail – Reopen","REOPENED",IF(AND(J24="Done – Ready for QA",M24&lt;&gt;"Pass"),"AWAITING QA",IF(AND(M24="Pass",P24&lt;&gt;"Approved"),"AWAITING CLIENT",IF(J24="In Progress","IN PROGRESS","OPEN"))))))</f>
        <v>OPEN</v>
      </c>
    </row>
    <row r="25" customFormat="false" ht="61.5" hidden="false" customHeight="true" outlineLevel="0" collapsed="false">
      <c r="A25" s="28" t="s">
        <v>151</v>
      </c>
      <c r="B25" s="33" t="s">
        <v>17</v>
      </c>
      <c r="C25" s="18" t="s">
        <v>147</v>
      </c>
      <c r="D25" s="18" t="s">
        <v>152</v>
      </c>
      <c r="E25" s="18" t="s">
        <v>153</v>
      </c>
      <c r="F25" s="18" t="s">
        <v>154</v>
      </c>
      <c r="G25" s="30" t="s">
        <v>66</v>
      </c>
      <c r="H25" s="30" t="s">
        <v>66</v>
      </c>
      <c r="I25" s="31"/>
      <c r="J25" s="30" t="s">
        <v>11</v>
      </c>
      <c r="K25" s="32"/>
      <c r="L25" s="31"/>
      <c r="M25" s="30" t="s">
        <v>67</v>
      </c>
      <c r="N25" s="32"/>
      <c r="O25" s="31"/>
      <c r="P25" s="30" t="s">
        <v>68</v>
      </c>
      <c r="Q25" s="31"/>
      <c r="R25" s="28" t="str">
        <f aca="false">IF(AND(J25="Done – Ready for QA",M25="Pass",P25="Approved"),"CLOSED",IF(J25="Blocked / Cannot Complete","BLOCKED",IF(M25="Fail – Reopen","REOPENED",IF(AND(J25="Done – Ready for QA",M25&lt;&gt;"Pass"),"AWAITING QA",IF(AND(M25="Pass",P25&lt;&gt;"Approved"),"AWAITING CLIENT",IF(J25="In Progress","IN PROGRESS","OPEN"))))))</f>
        <v>OPEN</v>
      </c>
    </row>
    <row r="26" customFormat="false" ht="61.5" hidden="false" customHeight="true" outlineLevel="0" collapsed="false">
      <c r="A26" s="28" t="s">
        <v>155</v>
      </c>
      <c r="B26" s="34" t="s">
        <v>18</v>
      </c>
      <c r="C26" s="18" t="s">
        <v>75</v>
      </c>
      <c r="D26" s="18" t="s">
        <v>156</v>
      </c>
      <c r="E26" s="18" t="s">
        <v>157</v>
      </c>
      <c r="F26" s="18" t="s">
        <v>158</v>
      </c>
      <c r="G26" s="30" t="s">
        <v>66</v>
      </c>
      <c r="H26" s="30" t="s">
        <v>66</v>
      </c>
      <c r="I26" s="31"/>
      <c r="J26" s="30" t="s">
        <v>11</v>
      </c>
      <c r="K26" s="32"/>
      <c r="L26" s="31"/>
      <c r="M26" s="30" t="s">
        <v>67</v>
      </c>
      <c r="N26" s="32"/>
      <c r="O26" s="31"/>
      <c r="P26" s="30" t="s">
        <v>68</v>
      </c>
      <c r="Q26" s="31"/>
      <c r="R26" s="28" t="str">
        <f aca="false">IF(AND(J26="Done – Ready for QA",M26="Pass",P26="Approved"),"CLOSED",IF(J26="Blocked / Cannot Complete","BLOCKED",IF(M26="Fail – Reopen","REOPENED",IF(AND(J26="Done – Ready for QA",M26&lt;&gt;"Pass"),"AWAITING QA",IF(AND(M26="Pass",P26&lt;&gt;"Approved"),"AWAITING CLIENT",IF(J26="In Progress","IN PROGRESS","OPEN"))))))</f>
        <v>OPEN</v>
      </c>
    </row>
    <row r="27" customFormat="false" ht="61.5" hidden="false" customHeight="true" outlineLevel="0" collapsed="false">
      <c r="A27" s="28" t="s">
        <v>159</v>
      </c>
      <c r="B27" s="34" t="s">
        <v>18</v>
      </c>
      <c r="C27" s="18" t="s">
        <v>75</v>
      </c>
      <c r="D27" s="18" t="s">
        <v>160</v>
      </c>
      <c r="E27" s="18" t="s">
        <v>161</v>
      </c>
      <c r="F27" s="18" t="s">
        <v>162</v>
      </c>
      <c r="G27" s="30" t="s">
        <v>66</v>
      </c>
      <c r="H27" s="30" t="s">
        <v>66</v>
      </c>
      <c r="I27" s="31"/>
      <c r="J27" s="30" t="s">
        <v>11</v>
      </c>
      <c r="K27" s="32"/>
      <c r="L27" s="31"/>
      <c r="M27" s="30" t="s">
        <v>67</v>
      </c>
      <c r="N27" s="32"/>
      <c r="O27" s="31"/>
      <c r="P27" s="30" t="s">
        <v>68</v>
      </c>
      <c r="Q27" s="31"/>
      <c r="R27" s="28" t="str">
        <f aca="false">IF(AND(J27="Done – Ready for QA",M27="Pass",P27="Approved"),"CLOSED",IF(J27="Blocked / Cannot Complete","BLOCKED",IF(M27="Fail – Reopen","REOPENED",IF(AND(J27="Done – Ready for QA",M27&lt;&gt;"Pass"),"AWAITING QA",IF(AND(M27="Pass",P27&lt;&gt;"Approved"),"AWAITING CLIENT",IF(J27="In Progress","IN PROGRESS","OPEN"))))))</f>
        <v>OPEN</v>
      </c>
    </row>
    <row r="28" customFormat="false" ht="61.5" hidden="false" customHeight="true" outlineLevel="0" collapsed="false">
      <c r="A28" s="28" t="s">
        <v>163</v>
      </c>
      <c r="B28" s="34" t="s">
        <v>18</v>
      </c>
      <c r="C28" s="18" t="s">
        <v>164</v>
      </c>
      <c r="D28" s="18" t="s">
        <v>165</v>
      </c>
      <c r="E28" s="18" t="s">
        <v>166</v>
      </c>
      <c r="F28" s="18" t="s">
        <v>167</v>
      </c>
      <c r="G28" s="30" t="s">
        <v>66</v>
      </c>
      <c r="H28" s="30" t="s">
        <v>66</v>
      </c>
      <c r="I28" s="31"/>
      <c r="J28" s="30" t="s">
        <v>11</v>
      </c>
      <c r="K28" s="32"/>
      <c r="L28" s="31"/>
      <c r="M28" s="30" t="s">
        <v>67</v>
      </c>
      <c r="N28" s="32"/>
      <c r="O28" s="31"/>
      <c r="P28" s="30" t="s">
        <v>68</v>
      </c>
      <c r="Q28" s="31"/>
      <c r="R28" s="28" t="str">
        <f aca="false">IF(AND(J28="Done – Ready for QA",M28="Pass",P28="Approved"),"CLOSED",IF(J28="Blocked / Cannot Complete","BLOCKED",IF(M28="Fail – Reopen","REOPENED",IF(AND(J28="Done – Ready for QA",M28&lt;&gt;"Pass"),"AWAITING QA",IF(AND(M28="Pass",P28&lt;&gt;"Approved"),"AWAITING CLIENT",IF(J28="In Progress","IN PROGRESS","OPEN"))))))</f>
        <v>OPEN</v>
      </c>
    </row>
    <row r="29" customFormat="false" ht="61.5" hidden="false" customHeight="true" outlineLevel="0" collapsed="false">
      <c r="A29" s="28" t="s">
        <v>168</v>
      </c>
      <c r="B29" s="34" t="s">
        <v>18</v>
      </c>
      <c r="C29" s="18" t="s">
        <v>164</v>
      </c>
      <c r="D29" s="18" t="s">
        <v>169</v>
      </c>
      <c r="E29" s="18" t="s">
        <v>170</v>
      </c>
      <c r="F29" s="18" t="s">
        <v>171</v>
      </c>
      <c r="G29" s="30" t="s">
        <v>66</v>
      </c>
      <c r="H29" s="30" t="s">
        <v>66</v>
      </c>
      <c r="I29" s="31"/>
      <c r="J29" s="30" t="s">
        <v>11</v>
      </c>
      <c r="K29" s="32"/>
      <c r="L29" s="31"/>
      <c r="M29" s="30" t="s">
        <v>67</v>
      </c>
      <c r="N29" s="32"/>
      <c r="O29" s="31"/>
      <c r="P29" s="30" t="s">
        <v>68</v>
      </c>
      <c r="Q29" s="31"/>
      <c r="R29" s="28" t="str">
        <f aca="false">IF(AND(J29="Done – Ready for QA",M29="Pass",P29="Approved"),"CLOSED",IF(J29="Blocked / Cannot Complete","BLOCKED",IF(M29="Fail – Reopen","REOPENED",IF(AND(J29="Done – Ready for QA",M29&lt;&gt;"Pass"),"AWAITING QA",IF(AND(M29="Pass",P29&lt;&gt;"Approved"),"AWAITING CLIENT",IF(J29="In Progress","IN PROGRESS","OPEN"))))))</f>
        <v>OPEN</v>
      </c>
    </row>
    <row r="30" customFormat="false" ht="61.5" hidden="false" customHeight="true" outlineLevel="0" collapsed="false">
      <c r="A30" s="28" t="s">
        <v>172</v>
      </c>
      <c r="B30" s="34" t="s">
        <v>18</v>
      </c>
      <c r="C30" s="18" t="s">
        <v>164</v>
      </c>
      <c r="D30" s="18" t="s">
        <v>173</v>
      </c>
      <c r="E30" s="18" t="s">
        <v>174</v>
      </c>
      <c r="F30" s="18" t="s">
        <v>175</v>
      </c>
      <c r="G30" s="30" t="s">
        <v>66</v>
      </c>
      <c r="H30" s="30" t="s">
        <v>66</v>
      </c>
      <c r="I30" s="31"/>
      <c r="J30" s="30" t="s">
        <v>11</v>
      </c>
      <c r="K30" s="32"/>
      <c r="L30" s="31"/>
      <c r="M30" s="30" t="s">
        <v>67</v>
      </c>
      <c r="N30" s="32"/>
      <c r="O30" s="31"/>
      <c r="P30" s="30" t="s">
        <v>68</v>
      </c>
      <c r="Q30" s="31"/>
      <c r="R30" s="28" t="str">
        <f aca="false">IF(AND(J30="Done – Ready for QA",M30="Pass",P30="Approved"),"CLOSED",IF(J30="Blocked / Cannot Complete","BLOCKED",IF(M30="Fail – Reopen","REOPENED",IF(AND(J30="Done – Ready for QA",M30&lt;&gt;"Pass"),"AWAITING QA",IF(AND(M30="Pass",P30&lt;&gt;"Approved"),"AWAITING CLIENT",IF(J30="In Progress","IN PROGRESS","OPEN"))))))</f>
        <v>OPEN</v>
      </c>
    </row>
    <row r="31" customFormat="false" ht="61.5" hidden="false" customHeight="true" outlineLevel="0" collapsed="false">
      <c r="A31" s="28" t="s">
        <v>176</v>
      </c>
      <c r="B31" s="34" t="s">
        <v>18</v>
      </c>
      <c r="C31" s="18" t="s">
        <v>147</v>
      </c>
      <c r="D31" s="18" t="s">
        <v>177</v>
      </c>
      <c r="E31" s="18" t="s">
        <v>178</v>
      </c>
      <c r="F31" s="18" t="s">
        <v>179</v>
      </c>
      <c r="G31" s="30" t="s">
        <v>66</v>
      </c>
      <c r="H31" s="30" t="s">
        <v>66</v>
      </c>
      <c r="I31" s="31"/>
      <c r="J31" s="30" t="s">
        <v>11</v>
      </c>
      <c r="K31" s="32"/>
      <c r="L31" s="31"/>
      <c r="M31" s="30" t="s">
        <v>67</v>
      </c>
      <c r="N31" s="32"/>
      <c r="O31" s="31"/>
      <c r="P31" s="30" t="s">
        <v>68</v>
      </c>
      <c r="Q31" s="31"/>
      <c r="R31" s="28" t="str">
        <f aca="false">IF(AND(J31="Done – Ready for QA",M31="Pass",P31="Approved"),"CLOSED",IF(J31="Blocked / Cannot Complete","BLOCKED",IF(M31="Fail – Reopen","REOPENED",IF(AND(J31="Done – Ready for QA",M31&lt;&gt;"Pass"),"AWAITING QA",IF(AND(M31="Pass",P31&lt;&gt;"Approved"),"AWAITING CLIENT",IF(J31="In Progress","IN PROGRESS","OPEN"))))))</f>
        <v>OPEN</v>
      </c>
    </row>
    <row r="32" customFormat="false" ht="61.5" hidden="false" customHeight="true" outlineLevel="0" collapsed="false">
      <c r="A32" s="28" t="s">
        <v>180</v>
      </c>
      <c r="B32" s="34" t="s">
        <v>18</v>
      </c>
      <c r="C32" s="18" t="s">
        <v>75</v>
      </c>
      <c r="D32" s="18" t="s">
        <v>181</v>
      </c>
      <c r="E32" s="18" t="s">
        <v>182</v>
      </c>
      <c r="F32" s="18" t="s">
        <v>183</v>
      </c>
      <c r="G32" s="30" t="s">
        <v>66</v>
      </c>
      <c r="H32" s="30" t="s">
        <v>66</v>
      </c>
      <c r="I32" s="31"/>
      <c r="J32" s="30" t="s">
        <v>11</v>
      </c>
      <c r="K32" s="32"/>
      <c r="L32" s="31"/>
      <c r="M32" s="30" t="s">
        <v>67</v>
      </c>
      <c r="N32" s="32"/>
      <c r="O32" s="31"/>
      <c r="P32" s="30" t="s">
        <v>68</v>
      </c>
      <c r="Q32" s="31"/>
      <c r="R32" s="28" t="str">
        <f aca="false">IF(AND(J32="Done – Ready for QA",M32="Pass",P32="Approved"),"CLOSED",IF(J32="Blocked / Cannot Complete","BLOCKED",IF(M32="Fail – Reopen","REOPENED",IF(AND(J32="Done – Ready for QA",M32&lt;&gt;"Pass"),"AWAITING QA",IF(AND(M32="Pass",P32&lt;&gt;"Approved"),"AWAITING CLIENT",IF(J32="In Progress","IN PROGRESS","OPEN"))))))</f>
        <v>OPEN</v>
      </c>
    </row>
    <row r="33" customFormat="false" ht="61.5" hidden="false" customHeight="true" outlineLevel="0" collapsed="false">
      <c r="A33" s="28" t="s">
        <v>184</v>
      </c>
      <c r="B33" s="34" t="s">
        <v>18</v>
      </c>
      <c r="C33" s="18" t="s">
        <v>80</v>
      </c>
      <c r="D33" s="18" t="s">
        <v>185</v>
      </c>
      <c r="E33" s="18" t="s">
        <v>186</v>
      </c>
      <c r="F33" s="18" t="s">
        <v>187</v>
      </c>
      <c r="G33" s="30" t="s">
        <v>66</v>
      </c>
      <c r="H33" s="30" t="s">
        <v>66</v>
      </c>
      <c r="I33" s="31"/>
      <c r="J33" s="30" t="s">
        <v>11</v>
      </c>
      <c r="K33" s="32"/>
      <c r="L33" s="31"/>
      <c r="M33" s="30" t="s">
        <v>67</v>
      </c>
      <c r="N33" s="32"/>
      <c r="O33" s="31"/>
      <c r="P33" s="30" t="s">
        <v>68</v>
      </c>
      <c r="Q33" s="31"/>
      <c r="R33" s="28" t="str">
        <f aca="false">IF(AND(J33="Done – Ready for QA",M33="Pass",P33="Approved"),"CLOSED",IF(J33="Blocked / Cannot Complete","BLOCKED",IF(M33="Fail – Reopen","REOPENED",IF(AND(J33="Done – Ready for QA",M33&lt;&gt;"Pass"),"AWAITING QA",IF(AND(M33="Pass",P33&lt;&gt;"Approved"),"AWAITING CLIENT",IF(J33="In Progress","IN PROGRESS","OPEN"))))))</f>
        <v>OPEN</v>
      </c>
    </row>
  </sheetData>
  <autoFilter ref="A4:R33"/>
  <mergeCells count="2">
    <mergeCell ref="A1:R1"/>
    <mergeCell ref="A2:R2"/>
  </mergeCells>
  <conditionalFormatting sqref="J5:J33">
    <cfRule type="cellIs" priority="2" operator="equal" aboveAverage="0" equalAverage="0" bottom="0" percent="0" rank="0" text="" dxfId="11">
      <formula>"Open"</formula>
    </cfRule>
    <cfRule type="cellIs" priority="3" operator="equal" aboveAverage="0" equalAverage="0" bottom="0" percent="0" rank="0" text="" dxfId="12">
      <formula>"In Progress"</formula>
    </cfRule>
    <cfRule type="cellIs" priority="4" operator="equal" aboveAverage="0" equalAverage="0" bottom="0" percent="0" rank="0" text="" dxfId="13">
      <formula>"Done – Ready for QA"</formula>
    </cfRule>
    <cfRule type="cellIs" priority="5" operator="equal" aboveAverage="0" equalAverage="0" bottom="0" percent="0" rank="0" text="" dxfId="14">
      <formula>"Blocked / Cannot Complete"</formula>
    </cfRule>
  </conditionalFormatting>
  <conditionalFormatting sqref="M5:M33">
    <cfRule type="cellIs" priority="6" operator="equal" aboveAverage="0" equalAverage="0" bottom="0" percent="0" rank="0" text="" dxfId="13">
      <formula>"Pass"</formula>
    </cfRule>
    <cfRule type="cellIs" priority="7" operator="equal" aboveAverage="0" equalAverage="0" bottom="0" percent="0" rank="0" text="" dxfId="11">
      <formula>"Fail – Reopen"</formula>
    </cfRule>
    <cfRule type="cellIs" priority="8" operator="equal" aboveAverage="0" equalAverage="0" bottom="0" percent="0" rank="0" text="" dxfId="12">
      <formula>"Retest Needed"</formula>
    </cfRule>
  </conditionalFormatting>
  <conditionalFormatting sqref="P5:P33">
    <cfRule type="cellIs" priority="9" operator="equal" aboveAverage="0" equalAverage="0" bottom="0" percent="0" rank="0" text="" dxfId="13">
      <formula>"Approved"</formula>
    </cfRule>
    <cfRule type="cellIs" priority="10" operator="equal" aboveAverage="0" equalAverage="0" bottom="0" percent="0" rank="0" text="" dxfId="11">
      <formula>"Changes Requested"</formula>
    </cfRule>
  </conditionalFormatting>
  <conditionalFormatting sqref="R5:R33">
    <cfRule type="cellIs" priority="11" operator="equal" aboveAverage="0" equalAverage="0" bottom="0" percent="0" rank="0" text="" dxfId="15">
      <formula>"CLOSED"</formula>
    </cfRule>
    <cfRule type="cellIs" priority="12" operator="equal" aboveAverage="0" equalAverage="0" bottom="0" percent="0" rank="0" text="" dxfId="16">
      <formula>"REOPENED"</formula>
    </cfRule>
    <cfRule type="cellIs" priority="13" operator="equal" aboveAverage="0" equalAverage="0" bottom="0" percent="0" rank="0" text="" dxfId="17">
      <formula>"BLOCKED"</formula>
    </cfRule>
    <cfRule type="cellIs" priority="14" operator="equal" aboveAverage="0" equalAverage="0" bottom="0" percent="0" rank="0" text="" dxfId="18">
      <formula>"AWAITING QA"</formula>
    </cfRule>
    <cfRule type="cellIs" priority="15" operator="equal" aboveAverage="0" equalAverage="0" bottom="0" percent="0" rank="0" text="" dxfId="19">
      <formula>"AWAITING CLIENT"</formula>
    </cfRule>
    <cfRule type="cellIs" priority="16" operator="equal" aboveAverage="0" equalAverage="0" bottom="0" percent="0" rank="0" text="" dxfId="12">
      <formula>"IN PROGRESS"</formula>
    </cfRule>
    <cfRule type="cellIs" priority="17" operator="equal" aboveAverage="0" equalAverage="0" bottom="0" percent="0" rank="0" text="" dxfId="11">
      <formula>"OPEN"</formula>
    </cfRule>
  </conditionalFormatting>
  <dataValidations count="4">
    <dataValidation allowBlank="false" errorStyle="stop" operator="between" showDropDown="false" showErrorMessage="true" showInputMessage="false" sqref="J5:J33" type="list">
      <formula1>'Legend &amp; Lists'!$A$2:$A$5</formula1>
      <formula2>0</formula2>
    </dataValidation>
    <dataValidation allowBlank="false" errorStyle="stop" operator="between" showDropDown="false" showErrorMessage="true" showInputMessage="false" sqref="M5:M33" type="list">
      <formula1>'Legend &amp; Lists'!$B$2:$B$5</formula1>
      <formula2>0</formula2>
    </dataValidation>
    <dataValidation allowBlank="false" errorStyle="stop" operator="between" showDropDown="false" showErrorMessage="true" showInputMessage="false" sqref="P5:P33" type="list">
      <formula1>'Legend &amp; Lists'!$C$2:$C$4</formula1>
      <formula2>0</formula2>
    </dataValidation>
    <dataValidation allowBlank="false" errorStyle="stop" operator="between" showDropDown="false" showErrorMessage="false" showInputMessage="false" sqref="G5:H3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26" t="s">
        <v>188</v>
      </c>
      <c r="B1" s="26"/>
      <c r="C1" s="26"/>
      <c r="D1" s="26"/>
      <c r="E1" s="26"/>
      <c r="F1" s="26"/>
      <c r="G1" s="26"/>
    </row>
    <row r="3" customFormat="false" ht="15" hidden="false" customHeight="false" outlineLevel="0" collapsed="false">
      <c r="A3" s="8" t="s">
        <v>44</v>
      </c>
      <c r="B3" s="8" t="s">
        <v>189</v>
      </c>
      <c r="C3" s="8" t="s">
        <v>190</v>
      </c>
      <c r="D3" s="8" t="s">
        <v>191</v>
      </c>
      <c r="E3" s="8" t="s">
        <v>192</v>
      </c>
      <c r="F3" s="8" t="s">
        <v>193</v>
      </c>
      <c r="G3" s="8" t="s">
        <v>194</v>
      </c>
    </row>
    <row r="4" customFormat="false" ht="27.75" hidden="false" customHeight="true" outlineLevel="0" collapsed="false">
      <c r="A4" s="28" t="s">
        <v>195</v>
      </c>
      <c r="B4" s="18" t="s">
        <v>196</v>
      </c>
      <c r="C4" s="10" t="s">
        <v>197</v>
      </c>
      <c r="D4" s="30" t="s">
        <v>198</v>
      </c>
      <c r="E4" s="31"/>
      <c r="F4" s="32"/>
      <c r="G4" s="31"/>
    </row>
    <row r="5" customFormat="false" ht="27.75" hidden="false" customHeight="true" outlineLevel="0" collapsed="false">
      <c r="A5" s="28" t="s">
        <v>199</v>
      </c>
      <c r="B5" s="18" t="s">
        <v>200</v>
      </c>
      <c r="C5" s="10" t="s">
        <v>197</v>
      </c>
      <c r="D5" s="30" t="s">
        <v>198</v>
      </c>
      <c r="E5" s="31"/>
      <c r="F5" s="32"/>
      <c r="G5" s="31"/>
    </row>
    <row r="6" customFormat="false" ht="27.75" hidden="false" customHeight="true" outlineLevel="0" collapsed="false">
      <c r="A6" s="28" t="s">
        <v>201</v>
      </c>
      <c r="B6" s="18" t="s">
        <v>202</v>
      </c>
      <c r="C6" s="10" t="s">
        <v>203</v>
      </c>
      <c r="D6" s="30" t="s">
        <v>198</v>
      </c>
      <c r="E6" s="31"/>
      <c r="F6" s="32"/>
      <c r="G6" s="31"/>
    </row>
    <row r="7" customFormat="false" ht="27.75" hidden="false" customHeight="true" outlineLevel="0" collapsed="false">
      <c r="A7" s="28" t="s">
        <v>204</v>
      </c>
      <c r="B7" s="18" t="s">
        <v>205</v>
      </c>
      <c r="C7" s="10" t="s">
        <v>203</v>
      </c>
      <c r="D7" s="30" t="s">
        <v>198</v>
      </c>
      <c r="E7" s="31"/>
      <c r="F7" s="32"/>
      <c r="G7" s="31"/>
    </row>
    <row r="8" customFormat="false" ht="27.75" hidden="false" customHeight="true" outlineLevel="0" collapsed="false">
      <c r="A8" s="28" t="s">
        <v>206</v>
      </c>
      <c r="B8" s="18" t="s">
        <v>207</v>
      </c>
      <c r="C8" s="10" t="s">
        <v>203</v>
      </c>
      <c r="D8" s="30" t="s">
        <v>198</v>
      </c>
      <c r="E8" s="31"/>
      <c r="F8" s="32"/>
      <c r="G8" s="31"/>
    </row>
    <row r="9" customFormat="false" ht="27.75" hidden="false" customHeight="true" outlineLevel="0" collapsed="false">
      <c r="A9" s="28" t="s">
        <v>208</v>
      </c>
      <c r="B9" s="18" t="s">
        <v>209</v>
      </c>
      <c r="C9" s="10" t="s">
        <v>203</v>
      </c>
      <c r="D9" s="30" t="s">
        <v>198</v>
      </c>
      <c r="E9" s="31"/>
      <c r="F9" s="32"/>
      <c r="G9" s="31"/>
    </row>
  </sheetData>
  <mergeCells count="1">
    <mergeCell ref="A1:G1"/>
  </mergeCells>
  <conditionalFormatting sqref="D4:D9">
    <cfRule type="cellIs" priority="2" operator="equal" aboveAverage="0" equalAverage="0" bottom="0" percent="0" rank="0" text="" dxfId="13">
      <formula>"Still Passing"</formula>
    </cfRule>
    <cfRule type="cellIs" priority="3" operator="equal" aboveAverage="0" equalAverage="0" bottom="0" percent="0" rank="0" text="" dxfId="11">
      <formula>"Regressed"</formula>
    </cfRule>
  </conditionalFormatting>
  <dataValidations count="1">
    <dataValidation allowBlank="false" errorStyle="stop" operator="between" showDropDown="false" showErrorMessage="true" showInputMessage="false" sqref="D4:D9" type="list">
      <formula1>'Legend &amp; Lists'!$E$2:$E$4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26" t="s">
        <v>210</v>
      </c>
      <c r="B1" s="26"/>
      <c r="C1" s="26"/>
      <c r="D1" s="26"/>
      <c r="E1" s="26"/>
      <c r="F1" s="26"/>
    </row>
    <row r="3" customFormat="false" ht="15" hidden="false" customHeight="false" outlineLevel="0" collapsed="false">
      <c r="A3" s="8" t="s">
        <v>211</v>
      </c>
      <c r="B3" s="8" t="s">
        <v>212</v>
      </c>
      <c r="C3" s="8" t="s">
        <v>22</v>
      </c>
      <c r="D3" s="8" t="s">
        <v>213</v>
      </c>
      <c r="E3" s="8" t="s">
        <v>214</v>
      </c>
      <c r="F3" s="8" t="s">
        <v>194</v>
      </c>
    </row>
    <row r="4" customFormat="false" ht="30" hidden="false" customHeight="true" outlineLevel="0" collapsed="false">
      <c r="A4" s="10" t="n">
        <v>1</v>
      </c>
      <c r="B4" s="18" t="s">
        <v>215</v>
      </c>
      <c r="C4" s="30" t="s">
        <v>216</v>
      </c>
      <c r="D4" s="31"/>
      <c r="E4" s="32"/>
      <c r="F4" s="31"/>
    </row>
    <row r="5" customFormat="false" ht="30" hidden="false" customHeight="true" outlineLevel="0" collapsed="false">
      <c r="A5" s="10" t="n">
        <v>2</v>
      </c>
      <c r="B5" s="18" t="s">
        <v>217</v>
      </c>
      <c r="C5" s="30" t="s">
        <v>216</v>
      </c>
      <c r="D5" s="31"/>
      <c r="E5" s="32"/>
      <c r="F5" s="31"/>
    </row>
    <row r="6" customFormat="false" ht="30" hidden="false" customHeight="true" outlineLevel="0" collapsed="false">
      <c r="A6" s="10" t="n">
        <v>3</v>
      </c>
      <c r="B6" s="18" t="s">
        <v>218</v>
      </c>
      <c r="C6" s="30" t="s">
        <v>216</v>
      </c>
      <c r="D6" s="31"/>
      <c r="E6" s="32"/>
      <c r="F6" s="31"/>
    </row>
    <row r="7" customFormat="false" ht="30" hidden="false" customHeight="true" outlineLevel="0" collapsed="false">
      <c r="A7" s="10" t="n">
        <v>4</v>
      </c>
      <c r="B7" s="18" t="s">
        <v>219</v>
      </c>
      <c r="C7" s="30" t="s">
        <v>216</v>
      </c>
      <c r="D7" s="31"/>
      <c r="E7" s="32"/>
      <c r="F7" s="31"/>
    </row>
    <row r="8" customFormat="false" ht="30" hidden="false" customHeight="true" outlineLevel="0" collapsed="false">
      <c r="A8" s="10" t="n">
        <v>5</v>
      </c>
      <c r="B8" s="18" t="s">
        <v>220</v>
      </c>
      <c r="C8" s="30" t="s">
        <v>216</v>
      </c>
      <c r="D8" s="31"/>
      <c r="E8" s="32"/>
      <c r="F8" s="31"/>
    </row>
    <row r="9" customFormat="false" ht="30" hidden="false" customHeight="true" outlineLevel="0" collapsed="false">
      <c r="A9" s="10" t="n">
        <v>6</v>
      </c>
      <c r="B9" s="18" t="s">
        <v>221</v>
      </c>
      <c r="C9" s="30" t="s">
        <v>216</v>
      </c>
      <c r="D9" s="31"/>
      <c r="E9" s="32"/>
      <c r="F9" s="31"/>
    </row>
    <row r="10" customFormat="false" ht="30" hidden="false" customHeight="true" outlineLevel="0" collapsed="false">
      <c r="A10" s="10" t="n">
        <v>7</v>
      </c>
      <c r="B10" s="18" t="s">
        <v>222</v>
      </c>
      <c r="C10" s="30" t="s">
        <v>216</v>
      </c>
      <c r="D10" s="31"/>
      <c r="E10" s="32"/>
      <c r="F10" s="31"/>
    </row>
    <row r="11" customFormat="false" ht="30" hidden="false" customHeight="true" outlineLevel="0" collapsed="false">
      <c r="A11" s="10" t="n">
        <v>8</v>
      </c>
      <c r="B11" s="18" t="s">
        <v>223</v>
      </c>
      <c r="C11" s="30" t="s">
        <v>216</v>
      </c>
      <c r="D11" s="31"/>
      <c r="E11" s="32"/>
      <c r="F11" s="31"/>
    </row>
    <row r="12" customFormat="false" ht="30" hidden="false" customHeight="true" outlineLevel="0" collapsed="false">
      <c r="A12" s="10" t="n">
        <v>9</v>
      </c>
      <c r="B12" s="18" t="s">
        <v>224</v>
      </c>
      <c r="C12" s="30" t="s">
        <v>216</v>
      </c>
      <c r="D12" s="31"/>
      <c r="E12" s="32"/>
      <c r="F12" s="31"/>
    </row>
    <row r="13" customFormat="false" ht="30" hidden="false" customHeight="true" outlineLevel="0" collapsed="false">
      <c r="A13" s="10" t="n">
        <v>10</v>
      </c>
      <c r="B13" s="18" t="s">
        <v>225</v>
      </c>
      <c r="C13" s="30" t="s">
        <v>216</v>
      </c>
      <c r="D13" s="31"/>
      <c r="E13" s="32"/>
      <c r="F13" s="31"/>
    </row>
    <row r="14" customFormat="false" ht="30" hidden="false" customHeight="true" outlineLevel="0" collapsed="false">
      <c r="A14" s="10" t="n">
        <v>11</v>
      </c>
      <c r="B14" s="18" t="s">
        <v>226</v>
      </c>
      <c r="C14" s="30" t="s">
        <v>216</v>
      </c>
      <c r="D14" s="31"/>
      <c r="E14" s="32"/>
      <c r="F14" s="31"/>
    </row>
    <row r="15" customFormat="false" ht="30" hidden="false" customHeight="true" outlineLevel="0" collapsed="false">
      <c r="A15" s="10" t="n">
        <v>12</v>
      </c>
      <c r="B15" s="18" t="s">
        <v>227</v>
      </c>
      <c r="C15" s="30" t="s">
        <v>216</v>
      </c>
      <c r="D15" s="31"/>
      <c r="E15" s="32"/>
      <c r="F15" s="31"/>
    </row>
    <row r="16" customFormat="false" ht="30" hidden="false" customHeight="true" outlineLevel="0" collapsed="false">
      <c r="A16" s="10" t="n">
        <v>13</v>
      </c>
      <c r="B16" s="18" t="s">
        <v>228</v>
      </c>
      <c r="C16" s="30" t="s">
        <v>216</v>
      </c>
      <c r="D16" s="31"/>
      <c r="E16" s="32"/>
      <c r="F16" s="31"/>
    </row>
    <row r="18" customFormat="false" ht="15" hidden="false" customHeight="false" outlineLevel="0" collapsed="false">
      <c r="B18" s="35" t="s">
        <v>229</v>
      </c>
      <c r="C18" s="36" t="n">
        <f aca="false">IFERROR(COUNTIF(C4:C16,"Complete")/(COUNTA(C4:C16)-COUNTIF(C4:C16,"N/A")),0)</f>
        <v>0</v>
      </c>
    </row>
  </sheetData>
  <mergeCells count="1">
    <mergeCell ref="A1:F1"/>
  </mergeCells>
  <conditionalFormatting sqref="C4:C16">
    <cfRule type="cellIs" priority="2" operator="equal" aboveAverage="0" equalAverage="0" bottom="0" percent="0" rank="0" text="" dxfId="13">
      <formula>"Complete"</formula>
    </cfRule>
    <cfRule type="cellIs" priority="3" operator="equal" aboveAverage="0" equalAverage="0" bottom="0" percent="0" rank="0" text="" dxfId="12">
      <formula>"In Progress"</formula>
    </cfRule>
  </conditionalFormatting>
  <dataValidations count="1">
    <dataValidation allowBlank="false" errorStyle="stop" operator="between" showDropDown="false" showErrorMessage="true" showInputMessage="false" sqref="C4:C16" type="list">
      <formula1>'Legend &amp; Lists'!$D$2:$D$5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6"/>
  </cols>
  <sheetData>
    <row r="1" customFormat="false" ht="15" hidden="false" customHeight="false" outlineLevel="0" collapsed="false">
      <c r="A1" s="8" t="s">
        <v>230</v>
      </c>
      <c r="B1" s="8" t="s">
        <v>55</v>
      </c>
      <c r="C1" s="8" t="s">
        <v>58</v>
      </c>
      <c r="D1" s="8" t="s">
        <v>231</v>
      </c>
      <c r="E1" s="8" t="s">
        <v>191</v>
      </c>
      <c r="F1" s="8" t="s">
        <v>9</v>
      </c>
    </row>
    <row r="2" customFormat="false" ht="15" hidden="false" customHeight="false" outlineLevel="0" collapsed="false">
      <c r="A2" s="18" t="s">
        <v>11</v>
      </c>
      <c r="B2" s="18" t="s">
        <v>67</v>
      </c>
      <c r="C2" s="18" t="s">
        <v>68</v>
      </c>
      <c r="D2" s="18" t="s">
        <v>216</v>
      </c>
      <c r="E2" s="18" t="s">
        <v>198</v>
      </c>
      <c r="F2" s="18" t="s">
        <v>16</v>
      </c>
    </row>
    <row r="3" customFormat="false" ht="15" hidden="false" customHeight="false" outlineLevel="0" collapsed="false">
      <c r="A3" s="18" t="s">
        <v>12</v>
      </c>
      <c r="B3" s="18" t="s">
        <v>232</v>
      </c>
      <c r="C3" s="18" t="s">
        <v>233</v>
      </c>
      <c r="D3" s="18" t="s">
        <v>12</v>
      </c>
      <c r="E3" s="18" t="s">
        <v>234</v>
      </c>
      <c r="F3" s="18" t="s">
        <v>17</v>
      </c>
    </row>
    <row r="4" customFormat="false" ht="15" hidden="false" customHeight="false" outlineLevel="0" collapsed="false">
      <c r="A4" s="18" t="s">
        <v>13</v>
      </c>
      <c r="B4" s="18" t="s">
        <v>235</v>
      </c>
      <c r="C4" s="18" t="s">
        <v>236</v>
      </c>
      <c r="D4" s="18" t="s">
        <v>237</v>
      </c>
      <c r="E4" s="18" t="s">
        <v>238</v>
      </c>
      <c r="F4" s="18" t="s">
        <v>18</v>
      </c>
    </row>
    <row r="5" customFormat="false" ht="15" hidden="false" customHeight="false" outlineLevel="0" collapsed="false">
      <c r="A5" s="18" t="s">
        <v>239</v>
      </c>
      <c r="B5" s="18" t="s">
        <v>240</v>
      </c>
      <c r="D5" s="18" t="s">
        <v>241</v>
      </c>
    </row>
    <row r="9" customFormat="false" ht="15" hidden="false" customHeight="false" outlineLevel="0" collapsed="false">
      <c r="A9" s="35" t="s">
        <v>242</v>
      </c>
    </row>
    <row r="10" customFormat="false" ht="15" hidden="false" customHeight="false" outlineLevel="0" collapsed="false">
      <c r="A10" s="37" t="s">
        <v>243</v>
      </c>
    </row>
    <row r="11" customFormat="false" ht="15" hidden="false" customHeight="false" outlineLevel="0" collapsed="false">
      <c r="A11" s="37" t="s">
        <v>244</v>
      </c>
    </row>
    <row r="12" customFormat="false" ht="15" hidden="false" customHeight="false" outlineLevel="0" collapsed="false">
      <c r="A12" s="37" t="s">
        <v>245</v>
      </c>
    </row>
    <row r="13" customFormat="false" ht="15" hidden="false" customHeight="false" outlineLevel="0" collapsed="false">
      <c r="A13" s="37" t="s">
        <v>246</v>
      </c>
    </row>
    <row r="14" customFormat="false" ht="15" hidden="false" customHeight="false" outlineLevel="0" collapsed="false">
      <c r="A14" s="37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2026-10-05T06:16:39Z</dcterms:created>
  <dc:creator>openpyxl</dc:creator>
  <dc:description/>
  <dc:language>en-US</dc:language>
  <cp:lastModifiedBy/>
  <dcterms:modified xsi:type="dcterms:W3CDTF">2026-10-05T06:16:39Z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